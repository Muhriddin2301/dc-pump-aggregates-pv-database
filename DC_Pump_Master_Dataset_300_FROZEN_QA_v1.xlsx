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5944837ae9fd9fba/Desktop/PhD/"/>
    </mc:Choice>
  </mc:AlternateContent>
  <xr:revisionPtr revIDLastSave="8" documentId="11_CD272BF69DA40ED5AB9B274DD03306171C74E964" xr6:coauthVersionLast="47" xr6:coauthVersionMax="47" xr10:uidLastSave="{8F4C6AB1-8209-4F01-82DB-D9141519C39D}"/>
  <bookViews>
    <workbookView xWindow="-120" yWindow="-120" windowWidth="29040" windowHeight="15720" firstSheet="4" activeTab="11" xr2:uid="{00000000-000D-0000-FFFF-FFFF00000000}"/>
  </bookViews>
  <sheets>
    <sheet name="README" sheetId="1" r:id="rId1"/>
    <sheet name="Pump_Aggregates" sheetId="2" r:id="rId2"/>
    <sheet name="Hydraulic_Curves" sheetId="3" r:id="rId3"/>
    <sheet name="Electrical_Drives" sheetId="4" r:id="rId4"/>
    <sheet name="Sources" sheetId="5" r:id="rId5"/>
    <sheet name="Manufacturer_Roadmap" sheetId="6" r:id="rId6"/>
    <sheet name="Data_Dictionary" sheetId="7" r:id="rId7"/>
    <sheet name="Validation_Lists" sheetId="8" r:id="rId8"/>
    <sheet name="Dashboard" sheetId="9" r:id="rId9"/>
    <sheet name="QH_Verification" sheetId="10" r:id="rId10"/>
    <sheet name="QA_Report" sheetId="11" r:id="rId11"/>
    <sheet name="Freeze_Log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9" l="1"/>
  <c r="D7" i="9" s="1"/>
  <c r="D6" i="9"/>
  <c r="D5" i="9"/>
  <c r="D4" i="9"/>
</calcChain>
</file>

<file path=xl/sharedStrings.xml><?xml version="1.0" encoding="utf-8"?>
<sst xmlns="http://schemas.openxmlformats.org/spreadsheetml/2006/main" count="12942" uniqueCount="2285">
  <si>
    <t>MASTER DATASET: PV / DC PUMP CONFIGURATIONS</t>
  </si>
  <si>
    <t>Purpose</t>
  </si>
  <si>
    <t>Build one master dataset of 300 verified pump configurations, divided into three application segments.</t>
  </si>
  <si>
    <t>Segments</t>
  </si>
  <si>
    <t>100 Household + 100 Farm/SME + 100 Industrial.</t>
  </si>
  <si>
    <t>Method</t>
  </si>
  <si>
    <t>Use only official manufacturer catalogs, product pages, datasheets or official product selectors.</t>
  </si>
  <si>
    <t>Core rule</t>
  </si>
  <si>
    <t>Never infer missing values. Leave blank and note the missing parameter.</t>
  </si>
  <si>
    <t>Industrial caveat</t>
  </si>
  <si>
    <t>Large industrial pumps are often PV-VFD-AC or DC-bus systems, not direct-DC. Record the electrical architecture explicitly.</t>
  </si>
  <si>
    <t>Final experiment rule</t>
  </si>
  <si>
    <t>Only rows with Verification_Status = Verified may be used in dissertation experiments.</t>
  </si>
  <si>
    <t>Q-H rule</t>
  </si>
  <si>
    <t>Store each curve as numeric points in Hydraulic_Curves; preserve the official source and digitization method.</t>
  </si>
  <si>
    <t>Cost rule</t>
  </si>
  <si>
    <t>Record date, market and currency; do not compare prices from different dates without normalization.</t>
  </si>
  <si>
    <t>Configuration rule</t>
  </si>
  <si>
    <t>A configuration means pump + motor + controller/drive, not only a pump-end model.</t>
  </si>
  <si>
    <t>Source rule</t>
  </si>
  <si>
    <t>Every Pump_ID, Controller_Drive_ID and Curve_ID must link to a Source_ID.</t>
  </si>
  <si>
    <t>Recommended workflow</t>
  </si>
  <si>
    <t>Manufacturer_Roadmap → Sources → Electrical_Drives → Pump_Aggregates → Hydraulic_Curves → verification.</t>
  </si>
  <si>
    <t>Current populated batch</t>
  </si>
  <si>
    <t>300 / 300 configurations populated</t>
  </si>
  <si>
    <t>Household records populated</t>
  </si>
  <si>
    <t>100</t>
  </si>
  <si>
    <t>Farm / SME records populated</t>
  </si>
  <si>
    <t>Industrial records populated</t>
  </si>
  <si>
    <t>Population status</t>
  </si>
  <si>
    <t>COMPLETE - all planned Pump_ID rows HH001-HH100, FM001-FM100, IN001-IN100 are populated</t>
  </si>
  <si>
    <t>Verification status</t>
  </si>
  <si>
    <t>NOT COMPLETE - rows remain In progress / Official case study until Q-H curves, controller details and cross-checks are finalized</t>
  </si>
  <si>
    <t>Manufacturers in master dataset</t>
  </si>
  <si>
    <t>Wassermann; LORENTZ; CHIMP; ZRI Solar; COM PUMP; Grundfos; Franklin Electric; SAER; Wilo</t>
  </si>
  <si>
    <t>Wassermann records</t>
  </si>
  <si>
    <t>108</t>
  </si>
  <si>
    <t>LORENTZ records</t>
  </si>
  <si>
    <t>24</t>
  </si>
  <si>
    <t>CHIMP records</t>
  </si>
  <si>
    <t>25</t>
  </si>
  <si>
    <t>ZRI Solar records</t>
  </si>
  <si>
    <t>COM PUMP records</t>
  </si>
  <si>
    <t>Grundfos records</t>
  </si>
  <si>
    <t>14</t>
  </si>
  <si>
    <t>Franklin Electric records</t>
  </si>
  <si>
    <t>48</t>
  </si>
  <si>
    <t>SAER records</t>
  </si>
  <si>
    <t>6</t>
  </si>
  <si>
    <t>Wilo records</t>
  </si>
  <si>
    <t>QA freeze date</t>
  </si>
  <si>
    <t>2026-08-13</t>
  </si>
  <si>
    <t>Population freeze</t>
  </si>
  <si>
    <t>FROZEN - 300/300 rows, IDs and source links structurally validated</t>
  </si>
  <si>
    <t>Q-H numeric coverage</t>
  </si>
  <si>
    <t>22/300 pump rows have numeric Q-H points</t>
  </si>
  <si>
    <t>Q-H internal QA</t>
  </si>
  <si>
    <t>10 curves passed internal checks; 12 require redigitization</t>
  </si>
  <si>
    <t>Experiment release</t>
  </si>
  <si>
    <t>HOLD - only rows later marked Verification_Status = Verified may be used in final optimization experiments</t>
  </si>
  <si>
    <t>QA sheets</t>
  </si>
  <si>
    <t>See QA_Report, QH_Verification and Freeze_Log</t>
  </si>
  <si>
    <t>Core data fingerprint</t>
  </si>
  <si>
    <t>164626eddd52c9e5eb7d657afe3e6377617e3bc0d449727e6520ced6c51a83d0</t>
  </si>
  <si>
    <t>Freeze version</t>
  </si>
  <si>
    <t>QA-FROZEN-v1</t>
  </si>
  <si>
    <t>Next step</t>
  </si>
  <si>
    <t>Digitize/verify model-level Q-H curves in priority order, then release a Verified experiment subset</t>
  </si>
  <si>
    <t>Pump_ID</t>
  </si>
  <si>
    <t>Application_Segment</t>
  </si>
  <si>
    <t>Manufacturer</t>
  </si>
  <si>
    <t>Product_Family</t>
  </si>
  <si>
    <t>Series</t>
  </si>
  <si>
    <t>Model</t>
  </si>
  <si>
    <t>Configuration_Name</t>
  </si>
  <si>
    <t>Pump_Type</t>
  </si>
  <si>
    <t>Installation_Type</t>
  </si>
  <si>
    <t>Hydraulic_Principle</t>
  </si>
  <si>
    <t>Supply_Architecture</t>
  </si>
  <si>
    <t>Motor_Type</t>
  </si>
  <si>
    <t>Rated_Power_kW</t>
  </si>
  <si>
    <t>Max_Flow_m3h</t>
  </si>
  <si>
    <t>Max_Head_m</t>
  </si>
  <si>
    <t>Rated_Flow_m3h</t>
  </si>
  <si>
    <t>Rated_Head_m</t>
  </si>
  <si>
    <t>Efficiency_pct</t>
  </si>
  <si>
    <t>Controller_Drive_ID</t>
  </si>
  <si>
    <t>QH_Curve_ID</t>
  </si>
  <si>
    <t>Parallel_Allowed</t>
  </si>
  <si>
    <t>Series_Allowed</t>
  </si>
  <si>
    <t>Reserve_Eligible</t>
  </si>
  <si>
    <t>Cost_USD</t>
  </si>
  <si>
    <t>Source_ID</t>
  </si>
  <si>
    <t>Verification_Status</t>
  </si>
  <si>
    <t>Notes</t>
  </si>
  <si>
    <t>HH001</t>
  </si>
  <si>
    <t>Household</t>
  </si>
  <si>
    <t>Wassermann</t>
  </si>
  <si>
    <t>Solar-Power Water Pump</t>
  </si>
  <si>
    <t>2SQG</t>
  </si>
  <si>
    <t>2SQG0.6/screw</t>
  </si>
  <si>
    <t>2SQG0.6/screw + WD solar 0.12 kW</t>
  </si>
  <si>
    <t>Submersible</t>
  </si>
  <si>
    <t>Borehole</t>
  </si>
  <si>
    <t>Positive_displacement</t>
  </si>
  <si>
    <t>DC_Controller</t>
  </si>
  <si>
    <t>BLDC</t>
  </si>
  <si>
    <t>WAS-CTRL-012</t>
  </si>
  <si>
    <t>WAS-HH001-QH</t>
  </si>
  <si>
    <t>No</t>
  </si>
  <si>
    <t>Yes</t>
  </si>
  <si>
    <t>SRC001</t>
  </si>
  <si>
    <t>In progress</t>
  </si>
  <si>
    <t>24 V; 2-inch screw type; catalog p.4</t>
  </si>
  <si>
    <t>HH002</t>
  </si>
  <si>
    <t>2SQG0.8/screw</t>
  </si>
  <si>
    <t>2SQG0.8/screw + WD solar 0.21 kW</t>
  </si>
  <si>
    <t>WAS-CTRL-021</t>
  </si>
  <si>
    <t>WAS-HH002-QH</t>
  </si>
  <si>
    <t>HH003</t>
  </si>
  <si>
    <t>2SQG0.9/screw</t>
  </si>
  <si>
    <t>2SQG0.9/screw + WD solar 0.50 kW</t>
  </si>
  <si>
    <t>WAS-CTRL-050</t>
  </si>
  <si>
    <t>WAS-HH003-QH</t>
  </si>
  <si>
    <t>48 V; 2-inch screw type; catalog p.4</t>
  </si>
  <si>
    <t>HH004</t>
  </si>
  <si>
    <t>3SQG</t>
  </si>
  <si>
    <t>3SQG0.6/screw</t>
  </si>
  <si>
    <t>3SQG0.6/screw + WD solar 0.12 kW</t>
  </si>
  <si>
    <t>WAS-HH004-QH</t>
  </si>
  <si>
    <t>24 V; 3-inch screw type; catalog p.5</t>
  </si>
  <si>
    <t>HH005</t>
  </si>
  <si>
    <t>3SQG0.7/screw</t>
  </si>
  <si>
    <t>3SQG0.7/screw + WD solar 0.21 kW</t>
  </si>
  <si>
    <t>WAS-HH005-QH</t>
  </si>
  <si>
    <t>HH006</t>
  </si>
  <si>
    <t>3SQG0.9/screw</t>
  </si>
  <si>
    <t>3SQG0.9/screw + WD solar 0.50 kW</t>
  </si>
  <si>
    <t>WAS-HH006-QH</t>
  </si>
  <si>
    <t>48 V; 3-inch screw type; catalog p.5</t>
  </si>
  <si>
    <t>HH007</t>
  </si>
  <si>
    <t>3SQG1.0/screw</t>
  </si>
  <si>
    <t>3SQG1.0/screw + WD solar 0.75 kW</t>
  </si>
  <si>
    <t>WAS-CTRL-075</t>
  </si>
  <si>
    <t>WAS-HH007-QH</t>
  </si>
  <si>
    <t>72 V; 3-inch screw type; catalog p.5</t>
  </si>
  <si>
    <t>HH008</t>
  </si>
  <si>
    <t>2SQJ</t>
  </si>
  <si>
    <t>2SQJ0.8/20</t>
  </si>
  <si>
    <t>2SQJ0.8/20 + WD solar 0.30 kW</t>
  </si>
  <si>
    <t>Centrifugal</t>
  </si>
  <si>
    <t>WAS-CTRL-030</t>
  </si>
  <si>
    <t>WAS-HH008-QH</t>
  </si>
  <si>
    <t>24 V; plastic impeller; 20 stages; catalog p.5</t>
  </si>
  <si>
    <t>HH009</t>
  </si>
  <si>
    <t>2SQJ0.8/25</t>
  </si>
  <si>
    <t>2SQJ0.8/25 + WD solar 0.40 kW</t>
  </si>
  <si>
    <t>WAS-CTRL-040</t>
  </si>
  <si>
    <t>WAS-HH009-QH</t>
  </si>
  <si>
    <t>48 V; plastic impeller; 25 stages; catalog p.5</t>
  </si>
  <si>
    <t>HH010</t>
  </si>
  <si>
    <t>2SQJ1.2/10</t>
  </si>
  <si>
    <t>2SQJ1.2/10 + WD solar 0.30 kW</t>
  </si>
  <si>
    <t>WAS-HH010-QH</t>
  </si>
  <si>
    <t>24 V; plastic impeller; 10 stages; catalog p.5</t>
  </si>
  <si>
    <t>HH011</t>
  </si>
  <si>
    <t>2SQJ1.2/15</t>
  </si>
  <si>
    <t>2SQJ1.2/15 + WD solar 0.40 kW</t>
  </si>
  <si>
    <t>WAS-HH011-QH</t>
  </si>
  <si>
    <t>48 V; plastic impeller; 15 stages; catalog p.5</t>
  </si>
  <si>
    <t>HH012</t>
  </si>
  <si>
    <t>3SQJ</t>
  </si>
  <si>
    <t>3SQJ0.8/10</t>
  </si>
  <si>
    <t>3SQJ0.8/10 + WD solar 0.30 kW</t>
  </si>
  <si>
    <t>WAS-HH012-QH</t>
  </si>
  <si>
    <t>24 V; plastic impeller; 10 stages; catalog p.6</t>
  </si>
  <si>
    <t>HH013</t>
  </si>
  <si>
    <t>3SQJ0.8/22</t>
  </si>
  <si>
    <t>3SQJ0.8/22 + WD solar 0.60 kW</t>
  </si>
  <si>
    <t>WAS-CTRL-060</t>
  </si>
  <si>
    <t>WAS-HH013-QH</t>
  </si>
  <si>
    <t>48 V; plastic impeller; 22 stages; catalog p.6</t>
  </si>
  <si>
    <t>HH014</t>
  </si>
  <si>
    <t>3SQJ0.8/27</t>
  </si>
  <si>
    <t>3SQJ0.8/27 + WD solar 0.75 kW</t>
  </si>
  <si>
    <t>WAS-HH014-QH</t>
  </si>
  <si>
    <t>72 V; plastic impeller; 27 stages; catalog p.6</t>
  </si>
  <si>
    <t>HH015</t>
  </si>
  <si>
    <t>3SQJ0.8/40</t>
  </si>
  <si>
    <t>3SQJ0.8/40 + WD solar 1.10 kW</t>
  </si>
  <si>
    <t>WAS-CTRL-110</t>
  </si>
  <si>
    <t>WAS-HH015-QH</t>
  </si>
  <si>
    <t>110 V; plastic impeller; 40 stages; catalog p.6</t>
  </si>
  <si>
    <t>HH016</t>
  </si>
  <si>
    <t>3SQJ1.8/5</t>
  </si>
  <si>
    <t>3SQJ1.8/5 + WD solar 0.30 kW</t>
  </si>
  <si>
    <t>WAS-HH016-QH</t>
  </si>
  <si>
    <t>24 V; plastic impeller; 5 stages; catalog p.6</t>
  </si>
  <si>
    <t>HH017</t>
  </si>
  <si>
    <t>3SQJ1.8/8</t>
  </si>
  <si>
    <t>3SQJ1.8/8 + WD solar 0.40 kW</t>
  </si>
  <si>
    <t>WAS-HH017-QH</t>
  </si>
  <si>
    <t>48 V; plastic impeller; 8 stages; catalog p.6</t>
  </si>
  <si>
    <t>HH018</t>
  </si>
  <si>
    <t>3SQJ1.8/10</t>
  </si>
  <si>
    <t>3SQJ1.8/10 + WD solar 0.60 kW</t>
  </si>
  <si>
    <t>WAS-HH018-QH</t>
  </si>
  <si>
    <t>72 V; plastic impeller; 10 stages; catalog p.6</t>
  </si>
  <si>
    <t>HH019</t>
  </si>
  <si>
    <t>3SQJ1.8/15</t>
  </si>
  <si>
    <t>3SQJ1.8/15 + WD solar 0.75 kW</t>
  </si>
  <si>
    <t>WAS-HH019-QH</t>
  </si>
  <si>
    <t>72 V; plastic impeller; 15 stages; catalog p.6</t>
  </si>
  <si>
    <t>HH020</t>
  </si>
  <si>
    <t>3SQJ2.1/15</t>
  </si>
  <si>
    <t>3SQJ2.1/15 + WD solar 1.10 kW</t>
  </si>
  <si>
    <t>WAS-HH020-QH</t>
  </si>
  <si>
    <t>110 V; plastic impeller; 15 stages; catalog p.6</t>
  </si>
  <si>
    <t>HH021</t>
  </si>
  <si>
    <t>3SQJ2.1/18</t>
  </si>
  <si>
    <t>3SQJ2.1/18 + WD solar 1.30 kW</t>
  </si>
  <si>
    <t>WAS-CTRL-130</t>
  </si>
  <si>
    <t>WAS-HH021-QH</t>
  </si>
  <si>
    <t>110 V; plastic impeller; 18 stages; catalog p.6</t>
  </si>
  <si>
    <t>HH022</t>
  </si>
  <si>
    <t>3SQJ2.1/22</t>
  </si>
  <si>
    <t>3SQJ2.1/22 + WD solar 1.50 kW</t>
  </si>
  <si>
    <t>WAS-CTRL-150</t>
  </si>
  <si>
    <t>WAS-HH022-QH</t>
  </si>
  <si>
    <t>110 V; plastic impeller; 22 stages; catalog p.6</t>
  </si>
  <si>
    <t>HH023</t>
  </si>
  <si>
    <t>3SQJ2.5/6</t>
  </si>
  <si>
    <t>3SQJ2.5/6 + WD solar 0.60 kW</t>
  </si>
  <si>
    <t>WAS-HH023-QH</t>
  </si>
  <si>
    <t>72 V; plastic impeller; 6 stages; catalog p.6</t>
  </si>
  <si>
    <t>HH024</t>
  </si>
  <si>
    <t>3SQJ2.5/8</t>
  </si>
  <si>
    <t>3SQJ2.5/8 + WD solar 0.75 kW</t>
  </si>
  <si>
    <t>WAS-HH024-QH</t>
  </si>
  <si>
    <t>72 V; plastic impeller; 8 stages; catalog p.6</t>
  </si>
  <si>
    <t>HH025</t>
  </si>
  <si>
    <t>3SQJ2.5/11</t>
  </si>
  <si>
    <t>3SQJ2.5/11 + WD solar 1.10 kW</t>
  </si>
  <si>
    <t>WAS-HH025-QH</t>
  </si>
  <si>
    <t>110 V; plastic impeller; 11 stages; catalog p.6</t>
  </si>
  <si>
    <t>HH026</t>
  </si>
  <si>
    <t>Solar Irrigation Pump</t>
  </si>
  <si>
    <t>BSQB</t>
  </si>
  <si>
    <t>BSQB1/0.36HP</t>
  </si>
  <si>
    <t>BSQB1/0.36HP built-in</t>
  </si>
  <si>
    <t>Surface</t>
  </si>
  <si>
    <t>Peripheral</t>
  </si>
  <si>
    <t>Direct_DC</t>
  </si>
  <si>
    <t>WAS-BUILTIN-027</t>
  </si>
  <si>
    <t>WAS-HH026-QH</t>
  </si>
  <si>
    <t>SRC003</t>
  </si>
  <si>
    <t>38 V; built-in drive; catalog p.3</t>
  </si>
  <si>
    <t>HH027</t>
  </si>
  <si>
    <t>BSQB1.5/0.72HP</t>
  </si>
  <si>
    <t>BSQB1.5/0.72HP built-in</t>
  </si>
  <si>
    <t>WAS-BUILTIN-054</t>
  </si>
  <si>
    <t>WAS-HH027-QH</t>
  </si>
  <si>
    <t>76 V; built-in drive; catalog p.3</t>
  </si>
  <si>
    <t>HH028</t>
  </si>
  <si>
    <t>SQB</t>
  </si>
  <si>
    <t>SQB1/0.28HP</t>
  </si>
  <si>
    <t>SQB1/0.28HP + WD solar 0.21 kW</t>
  </si>
  <si>
    <t>WAS-HH028-QH</t>
  </si>
  <si>
    <t>24 V; external controller; catalog p.3</t>
  </si>
  <si>
    <t>HH029</t>
  </si>
  <si>
    <t>SQB1/0.38HP</t>
  </si>
  <si>
    <t>SQB1/0.38HP + WD solar 0.28 kW</t>
  </si>
  <si>
    <t>WAS-CTRL-028</t>
  </si>
  <si>
    <t>WAS-HH029-QH</t>
  </si>
  <si>
    <t>HH030</t>
  </si>
  <si>
    <t>SQB1.5/0.75HP</t>
  </si>
  <si>
    <t>SQB1.5/0.75HP + WD solar 0.55 kW</t>
  </si>
  <si>
    <t>WAS-CTRL-055</t>
  </si>
  <si>
    <t>WAS-HH030-QH</t>
  </si>
  <si>
    <t>48 V; external controller; catalog p.3</t>
  </si>
  <si>
    <t>HH031</t>
  </si>
  <si>
    <t>SQB1.5/1HP 48V</t>
  </si>
  <si>
    <t>SQB1.5/1HP 48V + WD solar 0.75 kW</t>
  </si>
  <si>
    <t>WAS-HH031-QH</t>
  </si>
  <si>
    <t>HH032</t>
  </si>
  <si>
    <t>SQB1.5/1HP 72V</t>
  </si>
  <si>
    <t>SQB1.5/1HP 72V + WD solar 0.75 kW</t>
  </si>
  <si>
    <t>WAS-HH032-QH</t>
  </si>
  <si>
    <t>72 V; external controller; catalog p.3</t>
  </si>
  <si>
    <t>HH033</t>
  </si>
  <si>
    <t>SQB1.5/1HP-A/D</t>
  </si>
  <si>
    <t>SQB1.5/1HP-A/D + AC/DC controller</t>
  </si>
  <si>
    <t>AC_DC_Integrated</t>
  </si>
  <si>
    <t>WAS-ACDC-075</t>
  </si>
  <si>
    <t>WAS-HH033-QH</t>
  </si>
  <si>
    <t>96 V nominal; AC/DC drive; catalog p.3</t>
  </si>
  <si>
    <t>HH034</t>
  </si>
  <si>
    <t>BSJ</t>
  </si>
  <si>
    <t>BSJ2/0.76HP</t>
  </si>
  <si>
    <t>BSJ2/0.76HP built-in</t>
  </si>
  <si>
    <t>Jet</t>
  </si>
  <si>
    <t>WAS-BUILTIN-057</t>
  </si>
  <si>
    <t>WAS-HH034-QH</t>
  </si>
  <si>
    <t>76 V; built-in jet pump; catalog p.4</t>
  </si>
  <si>
    <t>HH035</t>
  </si>
  <si>
    <t>SJ</t>
  </si>
  <si>
    <t>SJ1.3/0.13HP-IN</t>
  </si>
  <si>
    <t>SJ1.3/0.13HP-IN built-in</t>
  </si>
  <si>
    <t>Mobile</t>
  </si>
  <si>
    <t>WAS-BUILTIN-010</t>
  </si>
  <si>
    <t>WAS-HH035-QH</t>
  </si>
  <si>
    <t>12 V; with handle; catalog p.4</t>
  </si>
  <si>
    <t>HH036</t>
  </si>
  <si>
    <t>SJ1.6/0.24HP-IN</t>
  </si>
  <si>
    <t>SJ1.6/0.24HP-IN built-in</t>
  </si>
  <si>
    <t>WAS-BUILTIN-020</t>
  </si>
  <si>
    <t>WAS-HH036-QH</t>
  </si>
  <si>
    <t>18 V; with handle; catalog p.4</t>
  </si>
  <si>
    <t>HH037</t>
  </si>
  <si>
    <t>SJ1.6/0.4HP-IN</t>
  </si>
  <si>
    <t>SJ1.6/0.4HP-IN built-in</t>
  </si>
  <si>
    <t>WAS-BUILTIN-030</t>
  </si>
  <si>
    <t>WAS-HH037-QH</t>
  </si>
  <si>
    <t>24 V; with handle; catalog p.4</t>
  </si>
  <si>
    <t>HH038</t>
  </si>
  <si>
    <t>SJ1.6/0.75HP-IN</t>
  </si>
  <si>
    <t>SJ1.6/0.75HP-IN built-in</t>
  </si>
  <si>
    <t>WAS-BUILTIN-050</t>
  </si>
  <si>
    <t>WAS-HH038-QH</t>
  </si>
  <si>
    <t>48 V; with handle; catalog p.4</t>
  </si>
  <si>
    <t>HH039</t>
  </si>
  <si>
    <t>LORENTZ</t>
  </si>
  <si>
    <t>PS2 Solar Pumping System</t>
  </si>
  <si>
    <t>PS2 C</t>
  </si>
  <si>
    <t>PS2-150C</t>
  </si>
  <si>
    <t>PS2-150C system</t>
  </si>
  <si>
    <t>LOR-PS2-150</t>
  </si>
  <si>
    <t>LOR-PS2-150C-QH</t>
  </si>
  <si>
    <t>SRC011</t>
  </si>
  <si>
    <t>Max TDH 20 m; max flow 4.0 m³/h; nominal DC 12–24 V; Vmp &gt;17 V; Voc max 50 V.</t>
  </si>
  <si>
    <t>HH040</t>
  </si>
  <si>
    <t>PS2 HR</t>
  </si>
  <si>
    <t>PS2-200HR</t>
  </si>
  <si>
    <t>PS2-200HR system</t>
  </si>
  <si>
    <t>Helical rotor</t>
  </si>
  <si>
    <t>LOR-PS2-200HR</t>
  </si>
  <si>
    <t>LOR-PS2-200HR-QH</t>
  </si>
  <si>
    <t>SRC012</t>
  </si>
  <si>
    <t>Max TDH 50 m; max flow 2.6 m³/h; nominal DC 24–48 V; Vmp &gt;34 V; Voc max 100 V.</t>
  </si>
  <si>
    <t>HH041</t>
  </si>
  <si>
    <t>PS2-600HR</t>
  </si>
  <si>
    <t>PS2-600HR system</t>
  </si>
  <si>
    <t>LOR-PS2-600-SUB</t>
  </si>
  <si>
    <t>LOR-PS2-600HR-QH</t>
  </si>
  <si>
    <t>Max TDH 180 m; max flow 2.6 m³/h; nominal DC 48–72 V; Vmp &gt;68 V; Voc max 150 V.</t>
  </si>
  <si>
    <t>HH042</t>
  </si>
  <si>
    <t>PS2 Surface</t>
  </si>
  <si>
    <t>PS2-150 Boost</t>
  </si>
  <si>
    <t>PS2-150 Boost system</t>
  </si>
  <si>
    <t>Booster</t>
  </si>
  <si>
    <t>LOR-PS2-150BOOST-QH</t>
  </si>
  <si>
    <t>SRC014</t>
  </si>
  <si>
    <t>Max TDH 150 m; max flow 1.3 m³/h; nominal DC 12–24 V; Vmp &gt;17 V; Voc max 50 V.</t>
  </si>
  <si>
    <t>HH043</t>
  </si>
  <si>
    <t>PS2-600 CS-F</t>
  </si>
  <si>
    <t>PS2-600 CS-F system</t>
  </si>
  <si>
    <t>LOR-PS2-600-SURF</t>
  </si>
  <si>
    <t>LOR-PS2-600CSF-QH</t>
  </si>
  <si>
    <t>Max TDH 40 m; max flow 8.3 m³/h; nominal DC 24–48 V; Vmp &gt;68 V; Voc max 150 V.</t>
  </si>
  <si>
    <t>HH044</t>
  </si>
  <si>
    <t>CHIMP</t>
  </si>
  <si>
    <t>Solar Deep Well Pump</t>
  </si>
  <si>
    <t>3DCS</t>
  </si>
  <si>
    <t>3DCS3.8-38-24-300</t>
  </si>
  <si>
    <t>3DCS3.8-38-24-300 + MPPT controller</t>
  </si>
  <si>
    <t>CHI-CTRL-24-0500</t>
  </si>
  <si>
    <t>CHI-3DCS3.8-38-24-300-QH</t>
  </si>
  <si>
    <t>SRC017</t>
  </si>
  <si>
    <t>Catalog performance table; 24 V pump; best DC 60–90 V; outlet 1"; cable 2 m; recommended PV Voc &lt;55 V and PV power ≥450 W. Catalog model suffix states 300 while listed motor power is 500 W; preserved exactly and flagged for verification.</t>
  </si>
  <si>
    <t>HH045</t>
  </si>
  <si>
    <t>3DCS4-56-48-400</t>
  </si>
  <si>
    <t>3DCS4-56-48-400 + MPPT controller</t>
  </si>
  <si>
    <t>CHI-CTRL-48-0400</t>
  </si>
  <si>
    <t>CHI-3DCS4-56-48-400-QH</t>
  </si>
  <si>
    <t>Catalog performance table; 48 V pump; best DC 60–90 V; outlet 1"; cable 2 m; recommended PV Voc &lt;100 V and PV power ≥600 W.</t>
  </si>
  <si>
    <t>HH046</t>
  </si>
  <si>
    <t>3DCS4-81-48-600</t>
  </si>
  <si>
    <t>3DCS4-81-48-600 + MPPT controller</t>
  </si>
  <si>
    <t>CHI-CTRL-48-0600</t>
  </si>
  <si>
    <t>CHI-3DCS4-81-48-600-QH</t>
  </si>
  <si>
    <t>Catalog performance table; 48 V pump; best DC 60–90 V; outlet 1"; cable 2 m; recommended PV Voc &lt;100 V and PV power ≥1000 W.</t>
  </si>
  <si>
    <t>HH047</t>
  </si>
  <si>
    <t>3DCS4-96-48-750</t>
  </si>
  <si>
    <t>3DCS4-96-48-750 + MPPT controller</t>
  </si>
  <si>
    <t>CHI-CTRL-48-0750</t>
  </si>
  <si>
    <t>CHI-3DCS4-96-48-750-QH</t>
  </si>
  <si>
    <t>HH048</t>
  </si>
  <si>
    <t>3DCS4-96-72-750</t>
  </si>
  <si>
    <t>3DCS4-96-72-750 + MPPT controller</t>
  </si>
  <si>
    <t>CHI-CTRL-72-0750</t>
  </si>
  <si>
    <t>CHI-3DCS4-96-72-750-QH</t>
  </si>
  <si>
    <t>Catalog performance table; 72 V pump; best DC 70–120 V; outlet 1"; cable 2 m; recommended PV Voc &lt;180 V and PV power ≥1000 W.</t>
  </si>
  <si>
    <t>HH049</t>
  </si>
  <si>
    <t>3DCS6-33-48-400</t>
  </si>
  <si>
    <t>3DCS6-33-48-400 + MPPT controller</t>
  </si>
  <si>
    <t>CHI-3DCS6-33-48-400-QH</t>
  </si>
  <si>
    <t>Catalog performance table; 48 V pump; best DC 60–90 V; outlet 1.25"; cable 2 m; recommended PV Voc &lt;100 V and PV power ≥600 W.</t>
  </si>
  <si>
    <t>HH050</t>
  </si>
  <si>
    <t>3DCS6-48-48-600</t>
  </si>
  <si>
    <t>3DCS6-48-48-600 + MPPT controller</t>
  </si>
  <si>
    <t>CHI-3DCS6-48-48-600-QH</t>
  </si>
  <si>
    <t>Catalog performance table; 48 V pump; best DC 60–90 V; outlet 1.25"; cable 2 m; recommended PV Voc &lt;100 V and PV power ≥1000 W.</t>
  </si>
  <si>
    <t>HH051</t>
  </si>
  <si>
    <t>3DCS6-65-48-750</t>
  </si>
  <si>
    <t>3DCS6-65-48-750 + MPPT controller</t>
  </si>
  <si>
    <t>CHI-3DCS6-65-48-750-QH</t>
  </si>
  <si>
    <t>HH052</t>
  </si>
  <si>
    <t>3DCS6-65-72-750</t>
  </si>
  <si>
    <t>3DCS6-65-72-750 + MPPT controller</t>
  </si>
  <si>
    <t>CHI-3DCS6-65-72-750-QH</t>
  </si>
  <si>
    <t>Catalog performance table; 72 V pump; best DC 70–120 V; outlet 1.25"; cable 2 m; recommended PV Voc &lt;180 V and PV power ≥1000 W.</t>
  </si>
  <si>
    <t>HH053</t>
  </si>
  <si>
    <t>3DCS8-48-48-750</t>
  </si>
  <si>
    <t>3DCS8-48-48-750 + MPPT controller</t>
  </si>
  <si>
    <t>CHI-3DCS8-48-48-750-QH</t>
  </si>
  <si>
    <t>HH054</t>
  </si>
  <si>
    <t>3DCS8-48-72-750</t>
  </si>
  <si>
    <t>3DCS8-48-72-750 + MPPT controller</t>
  </si>
  <si>
    <t>CHI-3DCS8-48-72-750-QH</t>
  </si>
  <si>
    <t>HH055</t>
  </si>
  <si>
    <t>3DCSS</t>
  </si>
  <si>
    <t>3DCSS4.5-32-24-300</t>
  </si>
  <si>
    <t>3DCSS4.5-32-24-300 + MPPT controller</t>
  </si>
  <si>
    <t>CHI-3DCSS4.5-32-24-300-QH</t>
  </si>
  <si>
    <t>Catalog performance table; 24 V pump; best DC 60–90 V; outlet 1.25"; cable 2 m; recommended PV Voc &lt;55 V and PV power ≥450 W. Catalog model suffix states 300 while listed motor power is 500 W; preserved exactly and flagged for verification.</t>
  </si>
  <si>
    <t>HH056</t>
  </si>
  <si>
    <t>ZRI Solar</t>
  </si>
  <si>
    <t>SSCO DC Solar Pump</t>
  </si>
  <si>
    <t>S3SS</t>
  </si>
  <si>
    <t>S3SS1.2-56-24-120</t>
  </si>
  <si>
    <t>S3SS1.2-56-24-120 [24 V option] + SSCO-YDC24</t>
  </si>
  <si>
    <t>ZRI-SSCO-YDC24</t>
  </si>
  <si>
    <t>ZRI-S3SS1.2-56-24-120-QH</t>
  </si>
  <si>
    <t>SRC019</t>
  </si>
  <si>
    <t>Official catalog item preserved; explicit 24 V motor option separated as a pump+motor+controller configuration. Optimum controller input 30–48 VDC; solar-array Voc &lt;50 V; recommended PV power ≥156 W; outlet 0.75"; cable 2 m. Hydraulic curve is shared by voltage options of the same catalog item.</t>
  </si>
  <si>
    <t>HH057</t>
  </si>
  <si>
    <t>S3SS1.7-109-48(72)-500</t>
  </si>
  <si>
    <t>S3SS1.7-109-48(72)-500 [48 V option] + SSCO-YDC48</t>
  </si>
  <si>
    <t>ZRI-SSCO-YDC48</t>
  </si>
  <si>
    <t>ZRI-S3SS1.7-109-48(72)-500-QH</t>
  </si>
  <si>
    <t>Official catalog item preserved; explicit 48 V motor option separated as a pump+motor+controller configuration. Optimum controller input 60–90 VDC; solar-array Voc &lt;100 V; recommended PV power ≥650 W; outlet 0.75"; cable 2 m. Hydraulic curve is shared by voltage options of the same catalog item.</t>
  </si>
  <si>
    <t>HH058</t>
  </si>
  <si>
    <t>S3SS1.7-109-48(72)-500 [72 V option] + SSCO-YDC72</t>
  </si>
  <si>
    <t>ZRI-SSCO-YDC72</t>
  </si>
  <si>
    <t>Official catalog item preserved; explicit 72 V motor option separated as a pump+motor+controller configuration. Optimum controller input 72–120 VDC; solar-array Voc &lt;150 V; recommended PV power ≥650 W; outlet 0.75"; cable 2 m. Hydraulic curve is shared by voltage options of the same catalog item.</t>
  </si>
  <si>
    <t>HH059</t>
  </si>
  <si>
    <t>S3SS2.0-150-72(96)-750</t>
  </si>
  <si>
    <t>S3SS2.0-150-72(96)-750 [72 V option] + SSCO-YDC72</t>
  </si>
  <si>
    <t>ZRI-S3SS2.0-150-72(96)-750-QH</t>
  </si>
  <si>
    <t>Official catalog item preserved; explicit 72 V motor option separated as a pump+motor+controller configuration. Optimum controller input 90–120 VDC; solar-array Voc &lt;150 V; recommended PV power ≥975 W; outlet 0.75"; cable 2 m. Hydraulic curve is shared by voltage options of the same catalog item.</t>
  </si>
  <si>
    <t>HH060</t>
  </si>
  <si>
    <t>S3SS2.0-150-72(96)-750 [96 V option] + SSCO-YDC96</t>
  </si>
  <si>
    <t>ZRI-SSCO-YDC96</t>
  </si>
  <si>
    <t>Official catalog item preserved; explicit 96 V motor option separated as a pump+motor+controller configuration. Optimum controller input 110–150 VDC; solar-array Voc &lt;200 V; recommended PV power ≥975 W; outlet 0.75"; cable 2 m. Hydraulic curve is shared by voltage options of the same catalog item.</t>
  </si>
  <si>
    <t>HH061</t>
  </si>
  <si>
    <t>S4SS</t>
  </si>
  <si>
    <t>S4SS1.7-70-48(72)-500</t>
  </si>
  <si>
    <t>S4SS1.7-70-48(72)-500 [48 V option] + SSCO-YDC48</t>
  </si>
  <si>
    <t>ZRI-S4SS1.7-70-48(72)-500-QH</t>
  </si>
  <si>
    <t>Official catalog item preserved; explicit 48 V motor option separated as a pump+motor+controller configuration. Optimum controller input 60–90 VDC; solar-array Voc &lt;100 V; recommended PV power ≥650 W; outlet 1"; cable 2 m. Hydraulic curve is shared by voltage options of the same catalog item.</t>
  </si>
  <si>
    <t>HH062</t>
  </si>
  <si>
    <t>S4SS1.7-70-48(72)-500 [72 V option] + SSCO-YDC72</t>
  </si>
  <si>
    <t>Official catalog item preserved; explicit 72 V motor option separated as a pump+motor+controller configuration. Optimum controller input 72–120 VDC; solar-array Voc &lt;150 V; recommended PV power ≥650 W; outlet 1"; cable 2 m. Hydraulic curve is shared by voltage options of the same catalog item.</t>
  </si>
  <si>
    <t>HH063</t>
  </si>
  <si>
    <t>S4SS2.0-95-72(96)-750</t>
  </si>
  <si>
    <t>S4SS2.0-95-72(96)-750 [72 V option] + SSCO-YDC72</t>
  </si>
  <si>
    <t>ZRI-S4SS2.0-95-72(96)-750-QH</t>
  </si>
  <si>
    <t>Official catalog item preserved; explicit 72 V motor option separated as a pump+motor+controller configuration. Optimum controller input 90–120 VDC; solar-array Voc &lt;150 V; recommended PV power ≥975 W; outlet 1"; cable 2 m. Hydraulic curve is shared by voltage options of the same catalog item.</t>
  </si>
  <si>
    <t>HH064</t>
  </si>
  <si>
    <t>S4SS2.0-95-72(96)-750 [96 V option] + SSCO-YDC96</t>
  </si>
  <si>
    <t>Official catalog item preserved; explicit 96 V motor option separated as a pump+motor+controller configuration. Optimum controller input 110–150 VDC; solar-array Voc &lt;200 V; recommended PV power ≥975 W; outlet 1"; cable 2 m. Hydraulic curve is shared by voltage options of the same catalog item.</t>
  </si>
  <si>
    <t>HH065</t>
  </si>
  <si>
    <t>S3HS</t>
  </si>
  <si>
    <t>S3HS1.2-56-24-120</t>
  </si>
  <si>
    <t>S3HS1.2-56-24-120 [24 V option] + SSCO-YDC24</t>
  </si>
  <si>
    <t>ZRI-S3HS1.2-56-24-120-QH</t>
  </si>
  <si>
    <t>HH066</t>
  </si>
  <si>
    <t>S3HS1.7-109-48(72)-500</t>
  </si>
  <si>
    <t>S3HS1.7-109-48(72)-500 [48 V option] + SSCO-YDC48</t>
  </si>
  <si>
    <t>ZRI-S3HS1.7-109-48(72)-500-QH</t>
  </si>
  <si>
    <t>HH067</t>
  </si>
  <si>
    <t>S3HS1.7-109-48(72)-500 [72 V option] + SSCO-YDC72</t>
  </si>
  <si>
    <t>HH068</t>
  </si>
  <si>
    <t>S3HS2.0-150-72(96)-750</t>
  </si>
  <si>
    <t>S3HS2.0-150-72(96)-750 [72 V option] + SSCO-YDC72</t>
  </si>
  <si>
    <t>ZRI-S3HS2.0-150-72(96)-750-QH</t>
  </si>
  <si>
    <t>HH069</t>
  </si>
  <si>
    <t>S3HS2.0-150-72(96)-750 [96 V option] + SSCO-YDC96</t>
  </si>
  <si>
    <t>HH070</t>
  </si>
  <si>
    <t>S4HS</t>
  </si>
  <si>
    <t>S4HS1.7-70-48(72)-500</t>
  </si>
  <si>
    <t>S4HS1.7-70-48(72)-500 [48 V option] + SSCO-YDC48</t>
  </si>
  <si>
    <t>ZRI-S4HS1.7-70-48(72)-500-QH</t>
  </si>
  <si>
    <t>HH071</t>
  </si>
  <si>
    <t>S4HS1.7-70-48(72)-500 [72 V option] + SSCO-YDC72</t>
  </si>
  <si>
    <t>HH072</t>
  </si>
  <si>
    <t>S4HS2.0-95-72(96)-750</t>
  </si>
  <si>
    <t>S4HS2.0-95-72(96)-750 [72 V option] + SSCO-YDC72</t>
  </si>
  <si>
    <t>ZRI-S4HS2.0-95-72(96)-750-QH</t>
  </si>
  <si>
    <t>HH073</t>
  </si>
  <si>
    <t>S4HS2.0-95-72(96)-750 [96 V option] + SSCO-YDC96</t>
  </si>
  <si>
    <t>HH074</t>
  </si>
  <si>
    <t>Grundfos</t>
  </si>
  <si>
    <t>SQFlex Renewable Energy Submersible Pump</t>
  </si>
  <si>
    <t>SQFlex</t>
  </si>
  <si>
    <t>SQF 0.6-2</t>
  </si>
  <si>
    <t>SQF 0.6-2 integrated AC/DC inverter system</t>
  </si>
  <si>
    <t>GRU-SQF-INTSTD</t>
  </si>
  <si>
    <t>GRU-SQF0p6-2-QH</t>
  </si>
  <si>
    <t>SRC021</t>
  </si>
  <si>
    <t>Standard SQFlex model shown on official performance-curve brochure. Official range supports renewable-energy operation; Q-H curve not yet digitized.</t>
  </si>
  <si>
    <t>HH075</t>
  </si>
  <si>
    <t>SQF 1.2-2</t>
  </si>
  <si>
    <t>SQF 1.2-2 integrated AC/DC inverter system</t>
  </si>
  <si>
    <t>GRU-SQF1p2-2-QH</t>
  </si>
  <si>
    <t>HH076</t>
  </si>
  <si>
    <t>SQF 2.5-2</t>
  </si>
  <si>
    <t>SQF 2.5-2 integrated AC/DC inverter system</t>
  </si>
  <si>
    <t>GRU-SQF2p5-2-QH</t>
  </si>
  <si>
    <t>HH077</t>
  </si>
  <si>
    <t>SQF 3A-10</t>
  </si>
  <si>
    <t>SQF 3A-10 integrated AC/DC inverter system</t>
  </si>
  <si>
    <t>GRU-SQF3A-10-QH</t>
  </si>
  <si>
    <t>HH078</t>
  </si>
  <si>
    <t>SQF 5A-7</t>
  </si>
  <si>
    <t>SQF 5A-7 integrated AC/DC inverter system</t>
  </si>
  <si>
    <t>GRU-SQF5A-7-QH</t>
  </si>
  <si>
    <t>HH079</t>
  </si>
  <si>
    <t>SQF 5A-3</t>
  </si>
  <si>
    <t>SQF 5A-3 integrated AC/DC inverter system</t>
  </si>
  <si>
    <t>GRU-SQF5A-3-QH</t>
  </si>
  <si>
    <t>HH080</t>
  </si>
  <si>
    <t>SQF 7-4</t>
  </si>
  <si>
    <t>SQF 7-4 integrated AC/DC inverter system</t>
  </si>
  <si>
    <t>GRU-SQF7-4-QH</t>
  </si>
  <si>
    <t>HH081</t>
  </si>
  <si>
    <t>SQF 9-3</t>
  </si>
  <si>
    <t>SQF 9-3 integrated AC/DC inverter system</t>
  </si>
  <si>
    <t>GRU-SQF9-3-QH</t>
  </si>
  <si>
    <t>HH082</t>
  </si>
  <si>
    <t>SQF 14-3</t>
  </si>
  <si>
    <t>SQF 14-3 integrated AC/DC inverter system</t>
  </si>
  <si>
    <t>GRU-SQF14-3-QH</t>
  </si>
  <si>
    <t>HH083</t>
  </si>
  <si>
    <t>SQF 1-30</t>
  </si>
  <si>
    <t>SQF 1-30 integrated AC/DC inverter system</t>
  </si>
  <si>
    <t>GRU-SQF1-30-QH</t>
  </si>
  <si>
    <t>High-speed SQFlex; brochure table: 300 W, 30-300 VDC, 90-240 VAC. Official range supports renewable-energy operation; Q-H curve not yet digitized.</t>
  </si>
  <si>
    <t>HH084</t>
  </si>
  <si>
    <t>SQF 1-70</t>
  </si>
  <si>
    <t>SQF 1-70 integrated AC/DC inverter system</t>
  </si>
  <si>
    <t>GRU-SQF1-70-QH</t>
  </si>
  <si>
    <t>High-speed SQFlex; brochure table: 1000 W, 30-300 VDC, 90-240 VAC. Official range supports renewable-energy operation; Q-H curve not yet digitized.</t>
  </si>
  <si>
    <t>HH085</t>
  </si>
  <si>
    <t>Franklin Electric</t>
  </si>
  <si>
    <t>Fhoton SolarPAK</t>
  </si>
  <si>
    <t>5FDSP-0.5HP</t>
  </si>
  <si>
    <t>5FDSP-0.5HP solar pumping package</t>
  </si>
  <si>
    <t>Other</t>
  </si>
  <si>
    <t>FRA-FHOTON-0p5HP</t>
  </si>
  <si>
    <t>FRA-5FDSP-0p5HP-QH</t>
  </si>
  <si>
    <t>SRC022</t>
  </si>
  <si>
    <t>Official order table: 0.5 hp, nominal flow class 5 US gpm (1.136 m³/h converted). Package includes Franklin 4-inch submersible pump, motor and Fhoton solar controller. Head/curve pending.</t>
  </si>
  <si>
    <t>HH086</t>
  </si>
  <si>
    <t>7FDSP-0.5HP</t>
  </si>
  <si>
    <t>7FDSP-0.5HP solar pumping package</t>
  </si>
  <si>
    <t>FRA-7FDSP-0p5HP-QH</t>
  </si>
  <si>
    <t>Official order table: 0.5 hp, nominal flow class 7 US gpm (1.59 m³/h converted). Package includes Franklin 4-inch submersible pump, motor and Fhoton solar controller. Head/curve pending.</t>
  </si>
  <si>
    <t>HH087</t>
  </si>
  <si>
    <t>15FDSP-0.5HP</t>
  </si>
  <si>
    <t>15FDSP-0.5HP solar pumping package</t>
  </si>
  <si>
    <t>FRA-15FDSP-0p5HP-QH</t>
  </si>
  <si>
    <t>Official order table: 0.5 hp, nominal flow class 15 US gpm (3.407 m³/h converted). Package includes Franklin 4-inch submersible pump, motor and Fhoton solar controller. Head/curve pending.</t>
  </si>
  <si>
    <t>HH088</t>
  </si>
  <si>
    <t>20FDSP-0.5HP</t>
  </si>
  <si>
    <t>20FDSP-0.5HP solar pumping package</t>
  </si>
  <si>
    <t>FRA-20FDSP-0p5HP-QH</t>
  </si>
  <si>
    <t>Official order table: 0.5 hp, nominal flow class 20 US gpm (4.542 m³/h converted). Package includes Franklin 4-inch submersible pump, motor and Fhoton solar controller. Head/curve pending.</t>
  </si>
  <si>
    <t>HH089</t>
  </si>
  <si>
    <t>5FDSP-0.75HP</t>
  </si>
  <si>
    <t>5FDSP-0.75HP solar pumping package</t>
  </si>
  <si>
    <t>FRA-FHOTON-0p75HP</t>
  </si>
  <si>
    <t>FRA-5FDSP-0p75HP-QH</t>
  </si>
  <si>
    <t>Official order table: 0.75 hp, nominal flow class 5 US gpm (1.136 m³/h converted). Package includes Franklin 4-inch submersible pump, motor and Fhoton solar controller. Head/curve pending.</t>
  </si>
  <si>
    <t>HH090</t>
  </si>
  <si>
    <t>7FDSP-0.75HP</t>
  </si>
  <si>
    <t>7FDSP-0.75HP solar pumping package</t>
  </si>
  <si>
    <t>FRA-7FDSP-0p75HP-QH</t>
  </si>
  <si>
    <t>Official order table: 0.75 hp, nominal flow class 7 US gpm (1.59 m³/h converted). Package includes Franklin 4-inch submersible pump, motor and Fhoton solar controller. Head/curve pending.</t>
  </si>
  <si>
    <t>HH091</t>
  </si>
  <si>
    <t>10FDSP-0.75HP</t>
  </si>
  <si>
    <t>10FDSP-0.75HP solar pumping package</t>
  </si>
  <si>
    <t>FRA-10FDSP-0p75HP-QH</t>
  </si>
  <si>
    <t>Official order table: 0.75 hp, nominal flow class 10 US gpm (2.271 m³/h converted). Package includes Franklin 4-inch submersible pump, motor and Fhoton solar controller. Head/curve pending.</t>
  </si>
  <si>
    <t>HH092</t>
  </si>
  <si>
    <t>15FDSP-0.75HP</t>
  </si>
  <si>
    <t>15FDSP-0.75HP solar pumping package</t>
  </si>
  <si>
    <t>FRA-15FDSP-0p75HP-QH</t>
  </si>
  <si>
    <t>Official order table: 0.75 hp, nominal flow class 15 US gpm (3.407 m³/h converted). Package includes Franklin 4-inch submersible pump, motor and Fhoton solar controller. Head/curve pending.</t>
  </si>
  <si>
    <t>HH093</t>
  </si>
  <si>
    <t>3FDSP-0.75HP-HR</t>
  </si>
  <si>
    <t>3FDSP-0.75HP-HR solar pumping package</t>
  </si>
  <si>
    <t>FRA-3FDSP-0p75HP-HR-QH</t>
  </si>
  <si>
    <t>Official order table: 0.75 hp, nominal flow class 3 US gpm (0.681 m³/h converted). Package includes Franklin 4-inch submersible pump, motor and Fhoton solar controller. Head/curve pending.</t>
  </si>
  <si>
    <t>HH094</t>
  </si>
  <si>
    <t>7FDSP-0.75HP-HR</t>
  </si>
  <si>
    <t>7FDSP-0.75HP-HR solar pumping package</t>
  </si>
  <si>
    <t>FRA-7FDSP-0p75HP-HR-QH</t>
  </si>
  <si>
    <t>HH095</t>
  </si>
  <si>
    <t>5FDSP-1.5 HP</t>
  </si>
  <si>
    <t>5FDSP-1.5 HP solar pumping package</t>
  </si>
  <si>
    <t>FRA-FHOTON-1p5HP</t>
  </si>
  <si>
    <t>FRA-5FDSP-1p5HP-QH</t>
  </si>
  <si>
    <t>Official order table: 1.5 hp, nominal flow class 5 US gpm (1.136 m³/h converted). Package includes Franklin 4-inch submersible pump, motor and Fhoton solar controller. Head/curve pending.</t>
  </si>
  <si>
    <t>HH096</t>
  </si>
  <si>
    <t>7FDSP-1.5 HP</t>
  </si>
  <si>
    <t>7FDSP-1.5 HP solar pumping package</t>
  </si>
  <si>
    <t>FRA-7FDSP-1p5HP-QH</t>
  </si>
  <si>
    <t>Official order table: 1.5 hp, nominal flow class 7 US gpm (1.59 m³/h converted). Package includes Franklin 4-inch submersible pump, motor and Fhoton solar controller. Head/curve pending.</t>
  </si>
  <si>
    <t>HH097</t>
  </si>
  <si>
    <t>10FDSP-1.5HP</t>
  </si>
  <si>
    <t>10FDSP-1.5HP solar pumping package</t>
  </si>
  <si>
    <t>FRA-10FDSP-1p5HP-QH</t>
  </si>
  <si>
    <t>Official order table: 1.5 hp, nominal flow class 10 US gpm (2.271 m³/h converted). Package includes Franklin 4-inch submersible pump, motor and Fhoton solar controller. Head/curve pending.</t>
  </si>
  <si>
    <t>HH098</t>
  </si>
  <si>
    <t>15FDSP-1.5HP</t>
  </si>
  <si>
    <t>15FDSP-1.5HP solar pumping package</t>
  </si>
  <si>
    <t>FRA-15FDSP-1p5HP-QH</t>
  </si>
  <si>
    <t>Official order table: 1.5 hp, nominal flow class 15 US gpm (3.407 m³/h converted). Package includes Franklin 4-inch submersible pump, motor and Fhoton solar controller. Head/curve pending.</t>
  </si>
  <si>
    <t>HH099</t>
  </si>
  <si>
    <t>25FDSP-1.5HP</t>
  </si>
  <si>
    <t>25FDSP-1.5HP solar pumping package</t>
  </si>
  <si>
    <t>FRA-25FDSP-1p5HP-QH</t>
  </si>
  <si>
    <t>Official order table: 1.5 hp, nominal flow class 25 US gpm (5.678 m³/h converted). Package includes Franklin 4-inch submersible pump, motor and Fhoton solar controller. Head/curve pending.</t>
  </si>
  <si>
    <t>HH100</t>
  </si>
  <si>
    <t>35FDSP-1.5HP</t>
  </si>
  <si>
    <t>35FDSP-1.5HP solar pumping package</t>
  </si>
  <si>
    <t>FRA-35FDSP-1p5HP-QH</t>
  </si>
  <si>
    <t>Official order table: 1.5 hp, nominal flow class 35 US gpm (7.949 m³/h converted). Package includes Franklin 4-inch submersible pump, motor and Fhoton solar controller. Head/curve pending.</t>
  </si>
  <si>
    <t>FM001</t>
  </si>
  <si>
    <t>Farm_SME</t>
  </si>
  <si>
    <t>BSCPM</t>
  </si>
  <si>
    <t>BSCPM2/0.8HP</t>
  </si>
  <si>
    <t>BSCPM2/0.8HP built-in</t>
  </si>
  <si>
    <t>WAS-BUILTIN-060</t>
  </si>
  <si>
    <t>WAS-FM001-QH</t>
  </si>
  <si>
    <t>76 V; built-in centrifugal; catalog p.5</t>
  </si>
  <si>
    <t>FM002</t>
  </si>
  <si>
    <t>BSCPM3.9/0.8HP</t>
  </si>
  <si>
    <t>BSCPM3.9/0.8HP built-in</t>
  </si>
  <si>
    <t>WAS-FM002-QH</t>
  </si>
  <si>
    <t>FM003</t>
  </si>
  <si>
    <t>BSCPM4.5/1HP</t>
  </si>
  <si>
    <t>BSCPM4.5/1HP built-in</t>
  </si>
  <si>
    <t>WAS-BUILTIN-075</t>
  </si>
  <si>
    <t>WAS-FM003-QH</t>
  </si>
  <si>
    <t>114 V; built-in centrifugal; catalog p.5</t>
  </si>
  <si>
    <t>FM004</t>
  </si>
  <si>
    <t>BSCPM7.8/1HP</t>
  </si>
  <si>
    <t>BSCPM7.8/1HP built-in</t>
  </si>
  <si>
    <t>WAS-FM004-QH</t>
  </si>
  <si>
    <t>FM005</t>
  </si>
  <si>
    <t>SCPM</t>
  </si>
  <si>
    <t>SCPM3/0.75HP-IN</t>
  </si>
  <si>
    <t>SCPM3/0.75HP-IN built-in</t>
  </si>
  <si>
    <t>WAS-BUILTIN-055</t>
  </si>
  <si>
    <t>WAS-FM005-QH</t>
  </si>
  <si>
    <t>48 V; with handle; catalog p.5</t>
  </si>
  <si>
    <t>FM006</t>
  </si>
  <si>
    <t>SCPM9/0.75HP-IN</t>
  </si>
  <si>
    <t>SCPM9/0.75HP-IN built-in</t>
  </si>
  <si>
    <t>WAS-FM006-QH</t>
  </si>
  <si>
    <t>FM007</t>
  </si>
  <si>
    <t>SCPM10/1HP-IN</t>
  </si>
  <si>
    <t>SCPM10/1HP-IN built-in</t>
  </si>
  <si>
    <t>WAS-FM007-QH</t>
  </si>
  <si>
    <t>72 V; with handle; catalog p.5</t>
  </si>
  <si>
    <t>FM008</t>
  </si>
  <si>
    <t>SCPM13/1.5HP-IN</t>
  </si>
  <si>
    <t>SCPM13/1.5HP-IN built-in</t>
  </si>
  <si>
    <t>WAS-BUILTIN-110</t>
  </si>
  <si>
    <t>WAS-FM008-QH</t>
  </si>
  <si>
    <t>110 V; with handle; catalog p.5</t>
  </si>
  <si>
    <t>FM009</t>
  </si>
  <si>
    <t>SCPM3/0.75HP</t>
  </si>
  <si>
    <t>SCPM3/0.75HP + WD solar 0.55 kW</t>
  </si>
  <si>
    <t>WAS-FM009-QH</t>
  </si>
  <si>
    <t>48 V; external controller; catalog p.6</t>
  </si>
  <si>
    <t>FM010</t>
  </si>
  <si>
    <t>SCPM9/0.75HP</t>
  </si>
  <si>
    <t>SCPM9/0.75HP + WD solar 0.55 kW</t>
  </si>
  <si>
    <t>WAS-FM010-QH</t>
  </si>
  <si>
    <t>FM011</t>
  </si>
  <si>
    <t>SCPM10/1HP</t>
  </si>
  <si>
    <t>SCPM10/1HP + WD solar 0.75 kW</t>
  </si>
  <si>
    <t>WAS-FM011-QH</t>
  </si>
  <si>
    <t>72 V; external controller; catalog p.6</t>
  </si>
  <si>
    <t>FM012</t>
  </si>
  <si>
    <t>SCPM13/1.5HP</t>
  </si>
  <si>
    <t>SCPM13/1.5HP + WD solar 1.10 kW</t>
  </si>
  <si>
    <t>WAS-FM012-QH</t>
  </si>
  <si>
    <t>110 V; external controller; catalog p.6</t>
  </si>
  <si>
    <t>FM013</t>
  </si>
  <si>
    <t>SCPM14/2HP</t>
  </si>
  <si>
    <t>SCPM14/2HP + WD solar 1.50 kW</t>
  </si>
  <si>
    <t>WAS-FM013-QH</t>
  </si>
  <si>
    <t>FM014</t>
  </si>
  <si>
    <t>SCPM14/2HP-H</t>
  </si>
  <si>
    <t>SCPM14/2HP-H + WHD solar 1.50 kW</t>
  </si>
  <si>
    <t>WAS-HV-150</t>
  </si>
  <si>
    <t>WAS-FM014-QH</t>
  </si>
  <si>
    <t>180 V; high-voltage drive; catalog p.6</t>
  </si>
  <si>
    <t>FM015</t>
  </si>
  <si>
    <t>SCPM22/2HP</t>
  </si>
  <si>
    <t>SCPM22/2HP + WD solar 1.50 kW</t>
  </si>
  <si>
    <t>WAS-FM015-QH</t>
  </si>
  <si>
    <t>FM016</t>
  </si>
  <si>
    <t>SCPM22/2HP-H</t>
  </si>
  <si>
    <t>SCPM22/2HP-H + WHD solar 1.50 kW</t>
  </si>
  <si>
    <t>WAS-FM016-QH</t>
  </si>
  <si>
    <t>FM017</t>
  </si>
  <si>
    <t>SCPM30/3HP-H</t>
  </si>
  <si>
    <t>SCPM30/3HP-H + WHD solar 2.20 kW</t>
  </si>
  <si>
    <t>WAS-HV-220</t>
  </si>
  <si>
    <t>WAS-FM017-QH</t>
  </si>
  <si>
    <t>280 V; high-voltage drive; catalog p.6</t>
  </si>
  <si>
    <t>FM018</t>
  </si>
  <si>
    <t>SCPM35/3HP-H</t>
  </si>
  <si>
    <t>SCPM35/3HP-H + WHD solar 2.20 kW</t>
  </si>
  <si>
    <t>WAS-FM018-QH</t>
  </si>
  <si>
    <t>FM019</t>
  </si>
  <si>
    <t>SCPM40/4HP-H</t>
  </si>
  <si>
    <t>SCPM40/4HP-H + WHD solar 3.00 kW</t>
  </si>
  <si>
    <t>WAS-HV-300</t>
  </si>
  <si>
    <t>WAS-FM019-QH</t>
  </si>
  <si>
    <t>300 V; high-voltage drive; catalog p.6</t>
  </si>
  <si>
    <t>FM020</t>
  </si>
  <si>
    <t>SCPM10/1HP-A/D</t>
  </si>
  <si>
    <t>SCPM10/1HP-A/D + AC/DC controller</t>
  </si>
  <si>
    <t>WAS-FM020-QH</t>
  </si>
  <si>
    <t>96 V nominal; AC/DC drive; catalog p.6</t>
  </si>
  <si>
    <t>FM021</t>
  </si>
  <si>
    <t>SCPM13/1.5HP-A/D</t>
  </si>
  <si>
    <t>SCPM13/1.5HP-A/D + AC/DC controller</t>
  </si>
  <si>
    <t>WAS-ACDC-110</t>
  </si>
  <si>
    <t>WAS-FM021-QH</t>
  </si>
  <si>
    <t>150 V nominal; AC/DC drive; catalog p.6</t>
  </si>
  <si>
    <t>FM022</t>
  </si>
  <si>
    <t>SCPM14/2HP-A/D</t>
  </si>
  <si>
    <t>SCPM14/2HP-A/D + AC/DC controller</t>
  </si>
  <si>
    <t>WAS-ACDC-150</t>
  </si>
  <si>
    <t>WAS-FM022-QH</t>
  </si>
  <si>
    <t>180 V nominal; AC/DC drive; catalog p.6</t>
  </si>
  <si>
    <t>FM023</t>
  </si>
  <si>
    <t>SCPM22/2HP-A/D</t>
  </si>
  <si>
    <t>SCPM22/2HP-A/D + AC/DC controller</t>
  </si>
  <si>
    <t>WAS-FM023-QH</t>
  </si>
  <si>
    <t>FM024</t>
  </si>
  <si>
    <t>SCPM30/3HP-A/D</t>
  </si>
  <si>
    <t>SCPM30/3HP-A/D + AC/DC controller</t>
  </si>
  <si>
    <t>WAS-ACDC-220</t>
  </si>
  <si>
    <t>WAS-FM024-QH</t>
  </si>
  <si>
    <t>280 V nominal; AC/DC drive; catalog p.6</t>
  </si>
  <si>
    <t>FM025</t>
  </si>
  <si>
    <t>SCPM35/3HP-A/D</t>
  </si>
  <si>
    <t>SCPM35/3HP-A/D + AC/DC controller</t>
  </si>
  <si>
    <t>WAS-FM025-QH</t>
  </si>
  <si>
    <t>FM026</t>
  </si>
  <si>
    <t>SCPM40/4HP-A/D</t>
  </si>
  <si>
    <t>SCPM40/4HP-A/D + AC/DC controller</t>
  </si>
  <si>
    <t>WAS-ACDC-300</t>
  </si>
  <si>
    <t>WAS-FM026-QH</t>
  </si>
  <si>
    <t>300 V nominal; AC/DC drive; catalog p.6</t>
  </si>
  <si>
    <t>FM027</t>
  </si>
  <si>
    <t>3SQJ2.1/22-H</t>
  </si>
  <si>
    <t>3SQJ2.1/22-H + WHD solar 1.5 kW</t>
  </si>
  <si>
    <t>WAS-CURVE-082</t>
  </si>
  <si>
    <t>SRC002</t>
  </si>
  <si>
    <t>Curve No. 82; 180 V; 22 stages; Ref.: 3.8 m³/h-180 m-180 V-1500 W</t>
  </si>
  <si>
    <t>FM028</t>
  </si>
  <si>
    <t>3SQJ2.5/16-H</t>
  </si>
  <si>
    <t>3SQJ2.5/16-H + WHD solar 1.5 kW</t>
  </si>
  <si>
    <t>WAS-CURVE-083</t>
  </si>
  <si>
    <t>Curve No. 83; 180 V; 16 stages; Ref.: 6 m³/h-125 m-180 V-1500 W</t>
  </si>
  <si>
    <t>FM029</t>
  </si>
  <si>
    <t>3SQJ3.5/12-H</t>
  </si>
  <si>
    <t>3SQJ3.5/12-H + WHD solar 1.5 kW</t>
  </si>
  <si>
    <t>WAS-CURVE-084</t>
  </si>
  <si>
    <t>Curve No. 84; 180 V; 12 stages; Ref.: 8 m³/h-90 m-180 V-1500 W</t>
  </si>
  <si>
    <t>FM030</t>
  </si>
  <si>
    <t>4SQJ</t>
  </si>
  <si>
    <t>4SQJ3/10-H</t>
  </si>
  <si>
    <t>4SQJ3/10-H + WHD solar 1.5 kW</t>
  </si>
  <si>
    <t>WAS-CURVE-085</t>
  </si>
  <si>
    <t>Curve No. 85; 180 V; 10 stages; motor 2 HP; Ref.: 7m³/h-135m-180V-1500W; Q–H digitization pending</t>
  </si>
  <si>
    <t>FM031</t>
  </si>
  <si>
    <t>4SQJ3/13-H</t>
  </si>
  <si>
    <t>4SQJ3/13-H + WHD solar 2.2 kW</t>
  </si>
  <si>
    <t>WAS-CURVE-086</t>
  </si>
  <si>
    <t>Curve No. 86; 280 V; 13 stages; motor 3 HP; Ref.: 7m³/h-185m-280V-2200W; Q–H digitization pending</t>
  </si>
  <si>
    <t>FM032</t>
  </si>
  <si>
    <t>4SQJ3/16-H</t>
  </si>
  <si>
    <t>4SQJ3/16-H + WHD solar 3 kW</t>
  </si>
  <si>
    <t>WAS-CURVE-087</t>
  </si>
  <si>
    <t>Curve No. 87; 300 V; 16 stages; motor 4 HP; Ref.: 7m³/h-230m-300V-3000W; Q–H digitization pending</t>
  </si>
  <si>
    <t>FM033</t>
  </si>
  <si>
    <t>4SQJ4/6-H</t>
  </si>
  <si>
    <t>4SQJ4/6-H + WHD solar 1.5 kW</t>
  </si>
  <si>
    <t>WAS-CURVE-088</t>
  </si>
  <si>
    <t>Curve No. 88; 180 V; 6 stages; motor 2 HP; Ref.: 9m³/h-85m-180V-1500W; Q–H digitization pending</t>
  </si>
  <si>
    <t>FM034</t>
  </si>
  <si>
    <t>4SQJ4/10-H</t>
  </si>
  <si>
    <t>4SQJ4/10-H + WHD solar 2.2 kW</t>
  </si>
  <si>
    <t>WAS-CURVE-089</t>
  </si>
  <si>
    <t>Curve No. 89; 280 V; 10 stages; motor 3 HP; Ref.: 9m³/h-125m-280V-2200W; Q–H digitization pending</t>
  </si>
  <si>
    <t>FM035</t>
  </si>
  <si>
    <t>4SQJ4/15-H</t>
  </si>
  <si>
    <t>4SQJ4/15-H + WHD solar 3 kW</t>
  </si>
  <si>
    <t>WAS-CURVE-090</t>
  </si>
  <si>
    <t>Curve No. 90; 300 V; 15 stages; motor 4 HP; Ref.: 9m³/h-195m-300V-3000W; Q–H digitization pending</t>
  </si>
  <si>
    <t>FM036</t>
  </si>
  <si>
    <t>4SQJ6/8-H</t>
  </si>
  <si>
    <t>4SQJ6/8-H + WHD solar 1.5 kW</t>
  </si>
  <si>
    <t>WAS-CURVE-091</t>
  </si>
  <si>
    <t>Curve No. 91; 180 V; 8 stages; motor 2 HP; Ref.: 12m³/h-100m-180V-1500W; Q–H digitization pending</t>
  </si>
  <si>
    <t>FM037</t>
  </si>
  <si>
    <t>4SQJ6/12-H</t>
  </si>
  <si>
    <t>4SQJ6/12-H + WHD solar 2.2 kW</t>
  </si>
  <si>
    <t>WAS-CURVE-092</t>
  </si>
  <si>
    <t>Curve No. 92; 280 V; 12 stages; motor 3 HP; Ref.: 12m³/h-150m-280V-2200W; Q–H digitization pending</t>
  </si>
  <si>
    <t>FM038</t>
  </si>
  <si>
    <t>4SQJ6/14-H</t>
  </si>
  <si>
    <t>4SQJ6/14-H + WHD solar 3 kW</t>
  </si>
  <si>
    <t>WAS-CURVE-093</t>
  </si>
  <si>
    <t>Curve No. 93; 300 V; 14 stages; motor 4 HP; Ref.: 12m³/h-175m-300V-3000W; Q–H digitization pending</t>
  </si>
  <si>
    <t>FM039</t>
  </si>
  <si>
    <t>4SQJ8/10-H</t>
  </si>
  <si>
    <t>4SQJ8/10-H + WHD solar 2.2 kW</t>
  </si>
  <si>
    <t>WAS-CURVE-094</t>
  </si>
  <si>
    <t>Curve No. 94; 280 V; 10 stages; motor 3 HP; Ref.: 14m³/h-125m-280V-2200W; Q–H digitization pending</t>
  </si>
  <si>
    <t>FM040</t>
  </si>
  <si>
    <t>4SQJ8/12-H</t>
  </si>
  <si>
    <t>4SQJ8/12-H + WHD solar 3 kW</t>
  </si>
  <si>
    <t>WAS-CURVE-095</t>
  </si>
  <si>
    <t>Curve No. 95; 300 V; 12 stages; motor 4 HP; Ref.: 14m³/h-150m-300V-3000W; Q–H digitization pending</t>
  </si>
  <si>
    <t>FM041</t>
  </si>
  <si>
    <t>4SQJ8/6-H</t>
  </si>
  <si>
    <t>4SQJ8/6-H + WHD solar 1.5 kW</t>
  </si>
  <si>
    <t>WAS-CURVE-096</t>
  </si>
  <si>
    <t>Curve No. 96; 180 V; 6 stages; motor 2 HP; Ref.: 16m³/h-70m-180V-1500W; Q–H digitization pending</t>
  </si>
  <si>
    <t>FM042</t>
  </si>
  <si>
    <t>4SQJ8/8-H</t>
  </si>
  <si>
    <t>4SQJ8/8-H + WHD solar 2.2 kW</t>
  </si>
  <si>
    <t>WAS-CURVE-097</t>
  </si>
  <si>
    <t>Curve No. 97; 280 V; 8 stages; motor 3 HP; Ref.: 18m³/h-95m-280V-2200W; Q–H digitization pending</t>
  </si>
  <si>
    <t>FM043</t>
  </si>
  <si>
    <t>4SQJ8/9-H</t>
  </si>
  <si>
    <t>4SQJ8/9-H + WHD solar 3 kW</t>
  </si>
  <si>
    <t>WAS-CURVE-098</t>
  </si>
  <si>
    <t>Curve No. 98; 300 V; 9 stages; motor 4 HP; Ref.: 18m³/h-112m-300V-3000W; Q–H digitization pending</t>
  </si>
  <si>
    <t>FM044</t>
  </si>
  <si>
    <t>4SQJ10/4-H</t>
  </si>
  <si>
    <t>4SQJ10/4-H + WHD solar 1.5 kW</t>
  </si>
  <si>
    <t>WAS-CURVE-099</t>
  </si>
  <si>
    <t>Curve No. 99; 180 V; 4 stages; motor 2 HP; Ref.: 20m³/h-48m-180V-1500W; Q–H digitization pending</t>
  </si>
  <si>
    <t>FM045</t>
  </si>
  <si>
    <t>4SQJ10/5-H</t>
  </si>
  <si>
    <t>4SQJ10/5-H + WHD solar 2.2 kW</t>
  </si>
  <si>
    <t>WAS-CURVE-100</t>
  </si>
  <si>
    <t>Curve No. 100; 280 V; 5 stages; motor 3 HP; Ref.: 20m³/h-60m-280V-2200W; Q–H digitization pending</t>
  </si>
  <si>
    <t>FM046</t>
  </si>
  <si>
    <t>4SQJ10/6-H</t>
  </si>
  <si>
    <t>4SQJ10/6-H + WHD solar 3 kW</t>
  </si>
  <si>
    <t>WAS-CURVE-101</t>
  </si>
  <si>
    <t>Curve No. 101; 300 V; 6 stages; motor 4 HP; Ref.: 20m³/h-75m-300V-3000W; Q–H digitization pending</t>
  </si>
  <si>
    <t>FM047</t>
  </si>
  <si>
    <t>4SQJ16/4-H</t>
  </si>
  <si>
    <t>4SQJ16/4-H + WHD solar 1.5 kW</t>
  </si>
  <si>
    <t>WAS-CURVE-102</t>
  </si>
  <si>
    <t>Curve No. 102; 180 V; 4 stages; motor 2 HP; Ref.: 30m³/h-40m-180V-1500W; Q–H digitization pending</t>
  </si>
  <si>
    <t>FM048</t>
  </si>
  <si>
    <t>4SQJ16/5-H</t>
  </si>
  <si>
    <t>4SQJ16/5-H + WHD solar 2.2 kW</t>
  </si>
  <si>
    <t>WAS-CURVE-103</t>
  </si>
  <si>
    <t>Curve No. 103; 280 V; 5 stages; motor 3 HP; Ref.: 30m³/h-50m-280V-2200W; Q–H digitization pending</t>
  </si>
  <si>
    <t>FM049</t>
  </si>
  <si>
    <t>4SQJ16/6-H</t>
  </si>
  <si>
    <t>4SQJ16/6-H + WHD solar 3 kW</t>
  </si>
  <si>
    <t>WAS-CURVE-104</t>
  </si>
  <si>
    <t>Curve No. 104; 300 V; 6 stages; motor 4 HP; Ref.: 30m³/h-75m-300V-3000W; Q–H digitization pending</t>
  </si>
  <si>
    <t>FM050</t>
  </si>
  <si>
    <t>4SQJ18/3-H</t>
  </si>
  <si>
    <t>4SQJ18/3-H + WHD solar 2.2 kW</t>
  </si>
  <si>
    <t>WAS-CURVE-105</t>
  </si>
  <si>
    <t>Curve No. 105; 280 V; 3 stages; motor 3 HP; Ref.: 36m³/h-45m-280V-2200W; Q–H digitization pending</t>
  </si>
  <si>
    <t>FM051</t>
  </si>
  <si>
    <t>4SQJ18/4-H</t>
  </si>
  <si>
    <t>4SQJ18/4-H + WHD solar 3 kW</t>
  </si>
  <si>
    <t>WAS-CURVE-106</t>
  </si>
  <si>
    <t>Curve No. 106; 300 V; 4 stages; motor 4 HP; Ref.: 41m³/h-52m-300V-3000W; Q–H digitization pending</t>
  </si>
  <si>
    <t>FM052</t>
  </si>
  <si>
    <t>3SSC</t>
  </si>
  <si>
    <t>3SSC2/18-H</t>
  </si>
  <si>
    <t>3SSC2/18-H + WHD solar 1.5 kW</t>
  </si>
  <si>
    <t>WAS-CURVE-107</t>
  </si>
  <si>
    <t>Curve No. 107; 180 V; 18 stages; motor 2 HP; Ref.: 5m³/h-135m-180V-1500W; pilot Q–H points entered</t>
  </si>
  <si>
    <t>FM053</t>
  </si>
  <si>
    <t>3SSC3/15-H</t>
  </si>
  <si>
    <t>3SSC3/15-H + WHD solar 1.5 kW</t>
  </si>
  <si>
    <t>WAS-CURVE-108</t>
  </si>
  <si>
    <t>Curve No. 108; 180 V; 15 stages; motor 2 HP; Ref.: 6m³/h-115m-180V-1500W; pilot Q–H points entered</t>
  </si>
  <si>
    <t>FM054</t>
  </si>
  <si>
    <t>4SSC</t>
  </si>
  <si>
    <t>4SSC2/19-H</t>
  </si>
  <si>
    <t>4SSC2/19-H + WHD solar 1.5 kW</t>
  </si>
  <si>
    <t>WAS-CURVE-109</t>
  </si>
  <si>
    <t>Curve No. 109; 180 V; 19 stages; motor 2 HP; Ref.: 4m³/h-205m-180V-1500W; pilot Q–H points entered</t>
  </si>
  <si>
    <t>FM055</t>
  </si>
  <si>
    <t>4SSC2/29-H</t>
  </si>
  <si>
    <t>4SSC2/29-H + WHD solar 2.2 kW</t>
  </si>
  <si>
    <t>WAS-CURVE-110</t>
  </si>
  <si>
    <t>Curve No. 110; 280 V; 29 stages; motor 3 HP; Ref.: 4m³/h-303m-280V-2200W; pilot Q–H points entered</t>
  </si>
  <si>
    <t>FM056</t>
  </si>
  <si>
    <t>4SSC3/18-H</t>
  </si>
  <si>
    <t>4SSC3/18-H + WHD solar 1.5 kW</t>
  </si>
  <si>
    <t>WAS-CURVE-111</t>
  </si>
  <si>
    <t>Curve No. 111; 180 V; 18 stages; motor 2 HP; Ref.: 6m³/h-203m-180V-1500W; pilot Q–H points entered</t>
  </si>
  <si>
    <t>FM057</t>
  </si>
  <si>
    <t>4SSC3/22-H</t>
  </si>
  <si>
    <t>4SSC3/22-H + WHD solar 2.2 kW</t>
  </si>
  <si>
    <t>WAS-CURVE-112</t>
  </si>
  <si>
    <t>Curve No. 112; 280 V; 22 stages; motor 3 HP; Ref.: 6.5m³/h-255m-280V-2200W; pilot Q–H points entered</t>
  </si>
  <si>
    <t>FM058</t>
  </si>
  <si>
    <t>4SSC3/26-H</t>
  </si>
  <si>
    <t>4SSC3/26-H + WHD solar 3 kW</t>
  </si>
  <si>
    <t>WAS-CURVE-113</t>
  </si>
  <si>
    <t>Curve No. 113; 300 V; 26 stages; motor 4 HP; Ref.: 6.5m³/h-300m-300V-3000W; pilot Q–H points entered</t>
  </si>
  <si>
    <t>FM059</t>
  </si>
  <si>
    <t>4SSC5/8-H</t>
  </si>
  <si>
    <t>4SSC5/8-H + WHD solar 1.5 kW</t>
  </si>
  <si>
    <t>WAS-CURVE-114</t>
  </si>
  <si>
    <t>Curve No. 114; 180 V; 8 stages; motor 2 HP; Ref.: 9m³/h-90m-180V-1500W; pilot Q–H points entered</t>
  </si>
  <si>
    <t>FM060</t>
  </si>
  <si>
    <t>4SSC5/12-H</t>
  </si>
  <si>
    <t>4SSC5/12-H + WHD solar 2.2 kW</t>
  </si>
  <si>
    <t>WAS-CURVE-115</t>
  </si>
  <si>
    <t>Curve No. 115; 280 V; 12 stages; motor 3 HP; Ref.: 9m³/h-135m-280V-2200W; pilot Q–H points entered</t>
  </si>
  <si>
    <t>FM061</t>
  </si>
  <si>
    <t>4SSC5/19-H</t>
  </si>
  <si>
    <t>4SSC5/19-H + WHD solar 3 kW</t>
  </si>
  <si>
    <t>WAS-CURVE-116</t>
  </si>
  <si>
    <t>Curve No. 116; 300 V; 19 stages; motor 4 HP; Ref.: 9m³/h-220m-300V-3000W; pilot Q–H points entered</t>
  </si>
  <si>
    <t>FM062</t>
  </si>
  <si>
    <t>4SSC8/6-H</t>
  </si>
  <si>
    <t>4SSC8/6-H + WHD solar 1.5 kW</t>
  </si>
  <si>
    <t>WAS-CURVE-117</t>
  </si>
  <si>
    <t>Curve No. 117; 180 V; 6 stages; motor 2 HP; Ref.: 16m³/h-70m-180V-1500W; pilot Q–H points entered</t>
  </si>
  <si>
    <t>FM063</t>
  </si>
  <si>
    <t>4SSC8/8-H</t>
  </si>
  <si>
    <t>4SSC8/8-H + WHD solar 2.2 kW</t>
  </si>
  <si>
    <t>WAS-CURVE-118</t>
  </si>
  <si>
    <t>Curve No. 118; 280 V; 8 stages; motor 3 HP; Ref.: 18m³/h-95m-280V-2200W; pilot Q–H points entered</t>
  </si>
  <si>
    <t>FM064</t>
  </si>
  <si>
    <t>4SSC8/12-H</t>
  </si>
  <si>
    <t>4SSC8/12-H + WHD solar 3 kW</t>
  </si>
  <si>
    <t>WAS-CURVE-119</t>
  </si>
  <si>
    <t>Curve No. 119; 300 V; 12 stages; motor 4 HP; Ref.: 18m³/h-130m-300V-3000W; pilot Q–H points entered</t>
  </si>
  <si>
    <t>FM065</t>
  </si>
  <si>
    <t>4SSC14/4-H</t>
  </si>
  <si>
    <t>4SSC14/4-H + WHD solar 1.5 kW</t>
  </si>
  <si>
    <t>WAS-CURVE-120</t>
  </si>
  <si>
    <t>Curve No. 120; 180 V; 4 stages; motor 2 HP; Ref.: 20m³/h-48m-180V-1500W; pilot Q–H points entered</t>
  </si>
  <si>
    <t>FM066</t>
  </si>
  <si>
    <t>4SSC14/5-H</t>
  </si>
  <si>
    <t>4SSC14/5-H + WHD solar 2.2 kW</t>
  </si>
  <si>
    <t>WAS-CURVE-121</t>
  </si>
  <si>
    <t>Curve No. 121; 280 V; 5 stages; motor 3 HP; Ref.: 20m³/h-70m-280V-2200W; pilot Q–H points entered</t>
  </si>
  <si>
    <t>FM067</t>
  </si>
  <si>
    <t>4SSC14/6-H</t>
  </si>
  <si>
    <t>4SSC14/6-H + WHD solar 3 kW</t>
  </si>
  <si>
    <t>WAS-CURVE-122</t>
  </si>
  <si>
    <t>Curve No. 122; 300 V; 6 stages; motor 4 HP; Ref.: 20m³/h-82m-300V-3000W; pilot Q–H points entered</t>
  </si>
  <si>
    <t>FM068</t>
  </si>
  <si>
    <t>4SSC15/2-H</t>
  </si>
  <si>
    <t>4SSC15/2-H + WHD solar 1.5 kW</t>
  </si>
  <si>
    <t>WAS-CURVE-123</t>
  </si>
  <si>
    <t>Curve No. 123; 180 V; 2 stages; motor 2 HP; Ref.: 25m³/h-25m-180V-1500W; pilot Q–H points entered</t>
  </si>
  <si>
    <t>FM069</t>
  </si>
  <si>
    <t>4SSC15/3-H</t>
  </si>
  <si>
    <t>4SSC15/3-H + WHD solar 2.2 kW</t>
  </si>
  <si>
    <t>WAS-CURVE-124</t>
  </si>
  <si>
    <t>Curve No. 124; 280 V; 3 stages; motor 3 HP; Ref.: 25m³/h-38m-280V-2200W; pilot Q–H points entered</t>
  </si>
  <si>
    <t>FM070</t>
  </si>
  <si>
    <t>4SSC15/4-H</t>
  </si>
  <si>
    <t>4SSC15/4-H + WHD solar 3 kW</t>
  </si>
  <si>
    <t>WAS-CURVE-125</t>
  </si>
  <si>
    <t>Curve No. 125; 300 V; 4 stages; motor 4 HP; Ref.: 30m³/h-50m-300V-3000W; pilot Q–H points entered</t>
  </si>
  <si>
    <t>FM071</t>
  </si>
  <si>
    <t>PS2-600C</t>
  </si>
  <si>
    <t>PS2-600C system</t>
  </si>
  <si>
    <t>LOR-PS2-600C-QH</t>
  </si>
  <si>
    <t>Max TDH 30 m; max flow 12 m³/h; nominal DC 48–72 V; Vmp &gt;68 V; Voc max 150 V.</t>
  </si>
  <si>
    <t>FM072</t>
  </si>
  <si>
    <t>PS2-1800C</t>
  </si>
  <si>
    <t>PS2-1800C system</t>
  </si>
  <si>
    <t>LOR-PS2-1800</t>
  </si>
  <si>
    <t>LOR-PS2-1800C-QH</t>
  </si>
  <si>
    <t>Max TDH 100 m; max flow 53 m³/h; nominal DC 72–96 V; Vmp &gt;102 V; Voc max 200 V.</t>
  </si>
  <si>
    <t>FM073</t>
  </si>
  <si>
    <t>PS2-4000C</t>
  </si>
  <si>
    <t>PS2-4000C system</t>
  </si>
  <si>
    <t>LOR-PS2-4000</t>
  </si>
  <si>
    <t>LOR-PS2-4000C-QH</t>
  </si>
  <si>
    <t>Max TDH 160 m; max flow 79 m³/h; nominal DC 168–192 V; Vmp &gt;238 V; Voc max 375 V.</t>
  </si>
  <si>
    <t>FM074</t>
  </si>
  <si>
    <t>PS2-1800HR</t>
  </si>
  <si>
    <t>PS2-1800HR system</t>
  </si>
  <si>
    <t>LOR-PS2-1800HR-QH</t>
  </si>
  <si>
    <t>Max TDH 250 m; max flow 3.9 m³/h; nominal DC 72–96 V; Vmp &gt;102 V; Voc max 200 V.</t>
  </si>
  <si>
    <t>FM075</t>
  </si>
  <si>
    <t>PS2-4000HR</t>
  </si>
  <si>
    <t>PS2-4000HR system</t>
  </si>
  <si>
    <t>LOR-PS2-4000HR-QH</t>
  </si>
  <si>
    <t>Max TDH 450 m; max flow 2.5 m³/h; nominal DC 168–192 V; Vmp &gt;238 V; Voc max 375 V.</t>
  </si>
  <si>
    <t>FM076</t>
  </si>
  <si>
    <t>PS2-1800 CS-F</t>
  </si>
  <si>
    <t>PS2-1800 CS-F system</t>
  </si>
  <si>
    <t>LOR-PS2-1800CSF-QH</t>
  </si>
  <si>
    <t>Max TDH 50 m; max flow 8.5 m³/h; nominal DC 72–96 V; Vmp &gt;102 V; Voc max 200 V.</t>
  </si>
  <si>
    <t>FM077</t>
  </si>
  <si>
    <t>PS2-4000 CS-F</t>
  </si>
  <si>
    <t>PS2-4000 CS-F system</t>
  </si>
  <si>
    <t>LOR-PS2-4000CSF-QH</t>
  </si>
  <si>
    <t>Max TDH 70 m; max flow 59 m³/h; nominal DC 168–192 V; Vmp &gt;238 V; Voc max 375 V.</t>
  </si>
  <si>
    <t>FM078</t>
  </si>
  <si>
    <t>3DCS4-128-72-1100</t>
  </si>
  <si>
    <t>3DCS4-128-72-1100 + MPPT controller</t>
  </si>
  <si>
    <t>CHI-CTRL-72-1100</t>
  </si>
  <si>
    <t>CHI-3DCS4-128-72-1100-QH</t>
  </si>
  <si>
    <t>Catalog performance table; 72 V pump; best DC 70–120 V; outlet 1"; cable 2 m; recommended PV Voc &lt;180 V and PV power ≥1600 W.</t>
  </si>
  <si>
    <t>FM079</t>
  </si>
  <si>
    <t>3DCS4-128-110-1100</t>
  </si>
  <si>
    <t>3DCS4-128-110-1100 + MPPT controller</t>
  </si>
  <si>
    <t>CHI-CTRL-110-1100</t>
  </si>
  <si>
    <t>CHI-3DCS4-128-110-1100-QH</t>
  </si>
  <si>
    <t>Catalog performance table; 110 V pump; best DC 90–160 V; outlet 1"; cable 2 m; recommended PV Voc &lt;220 V and PV power ≥1600 W.</t>
  </si>
  <si>
    <t>FM080</t>
  </si>
  <si>
    <t>3DCS4-152-110-1300</t>
  </si>
  <si>
    <t>3DCS4-152-110-1300 + MPPT controller</t>
  </si>
  <si>
    <t>CHI-CTRL-110-1300</t>
  </si>
  <si>
    <t>CHI-3DCS4-152-110-1300-QH</t>
  </si>
  <si>
    <t>Catalog performance table; 110 V pump; best DC 90–160 V; outlet 1"; cable 2 m; recommended PV Voc &lt;220 V and PV power ≥2000 W.</t>
  </si>
  <si>
    <t>FM081</t>
  </si>
  <si>
    <t>3DCS4-180-110-1500</t>
  </si>
  <si>
    <t>3DCS4-180-110-1500 + MPPT controller</t>
  </si>
  <si>
    <t>CHI-CTRL-110-1500</t>
  </si>
  <si>
    <t>CHI-3DCS4-180-110-1500-QH</t>
  </si>
  <si>
    <t>Catalog performance table; 110 V pump; best DC 90–160 V; outlet 1"; cable 2 m; recommended PV Voc &lt;220 V and PV power ≥2200 W.</t>
  </si>
  <si>
    <t>FM082</t>
  </si>
  <si>
    <t>3DCS4-232-220-2200</t>
  </si>
  <si>
    <t>3DCS4-232-220-2200 + MPPT controller</t>
  </si>
  <si>
    <t>CHI-CTRL-220-2200</t>
  </si>
  <si>
    <t>CHI-3DCS4-232-220-2200-QH</t>
  </si>
  <si>
    <t>Catalog performance table; 220 V pump; best DC 220–430 V; outlet 1"; cable 2 m; recommended PV Voc &lt;450 V and PV power ≥3300 W.</t>
  </si>
  <si>
    <t>FM083</t>
  </si>
  <si>
    <t>3DCS6-88-72-1100</t>
  </si>
  <si>
    <t>3DCS6-88-72-1100 + MPPT controller</t>
  </si>
  <si>
    <t>CHI-3DCS6-88-72-1100-QH</t>
  </si>
  <si>
    <t>Catalog performance table; 72 V pump; best DC 70–120 V; outlet 1.25"; cable 2 m; recommended PV Voc &lt;180 V and PV power ≥1600 W.</t>
  </si>
  <si>
    <t>FM084</t>
  </si>
  <si>
    <t>3DCS6-88-110-1100</t>
  </si>
  <si>
    <t>3DCS6-88-110-1100 + MPPT controller</t>
  </si>
  <si>
    <t>CHI-3DCS6-88-110-1100-QH</t>
  </si>
  <si>
    <t>Catalog performance table; 110 V pump; best DC 90–160 V; outlet 1.25"; cable 2 m; recommended PV Voc &lt;220 V and PV power ≥1600 W.</t>
  </si>
  <si>
    <t>FM085</t>
  </si>
  <si>
    <t>3DCS6-128-110-1500</t>
  </si>
  <si>
    <t>3DCS6-128-110-1500 + MPPT controller</t>
  </si>
  <si>
    <t>CHI-3DCS6-128-110-1500-QH</t>
  </si>
  <si>
    <t>Catalog performance table; 110 V pump; best DC 90–160 V; outlet 1.25"; cable 2 m; recommended PV Voc &lt;220 V and PV power ≥2200 W.</t>
  </si>
  <si>
    <t>FM086</t>
  </si>
  <si>
    <t>3DCS6-168-220-2200</t>
  </si>
  <si>
    <t>3DCS6-168-220-2200 + MPPT controller</t>
  </si>
  <si>
    <t>CHI-3DCS6-168-220-2200-QH</t>
  </si>
  <si>
    <t>Catalog performance table; 220 V pump; best DC 220–430 V; outlet 1.25"; cable 2 m; recommended PV Voc &lt;450 V and PV power ≥3300 W.</t>
  </si>
  <si>
    <t>FM087</t>
  </si>
  <si>
    <t>3DCS8.5-72-72-1100</t>
  </si>
  <si>
    <t>3DCS8.5-72-72-1100 + MPPT controller</t>
  </si>
  <si>
    <t>CHI-3DCS8.5-72-72-1100-QH</t>
  </si>
  <si>
    <t>FM088</t>
  </si>
  <si>
    <t>3DCS8.5-72-110-1100</t>
  </si>
  <si>
    <t>3DCS8.5-72-110-1100 + MPPT controller</t>
  </si>
  <si>
    <t>CHI-3DCS8.5-72-110-1100-QH</t>
  </si>
  <si>
    <t>FM089</t>
  </si>
  <si>
    <t>3DCS8.5-96-110-1500</t>
  </si>
  <si>
    <t>3DCS8.5-96-110-1500 + MPPT controller</t>
  </si>
  <si>
    <t>CHI-3DCS8.5-96-110-1500-QH</t>
  </si>
  <si>
    <t>FM090</t>
  </si>
  <si>
    <t>3DCS8-128-220-2200</t>
  </si>
  <si>
    <t>3DCS8-128-220-2200 + MPPT controller</t>
  </si>
  <si>
    <t>CHI-3DCS8-128-220-2200-QH</t>
  </si>
  <si>
    <t>FM091</t>
  </si>
  <si>
    <t>S3SS2.2-180-110(150)-1100</t>
  </si>
  <si>
    <t>S3SS2.2-180-110(150)-1100 [110 V option] + SSCO-YDC11</t>
  </si>
  <si>
    <t>ZRI-SSCO-YDC11</t>
  </si>
  <si>
    <t>ZRI-S3SS2.2-180-110(150)-1100-QH</t>
  </si>
  <si>
    <t>Official catalog item preserved; explicit 110 V motor option separated as a pump+motor+controller configuration. Optimum controller input 110–150 VDC; solar-array Voc &lt;200 V; recommended PV power ≥1430 W; outlet 0.75"; cable 2 m. Hydraulic curve is shared by voltage options of the same catalog item.</t>
  </si>
  <si>
    <t>FM092</t>
  </si>
  <si>
    <t>S3SS2.2-180-110(150)-1100 [150 V option] + SSCO-YDC15</t>
  </si>
  <si>
    <t>ZRI-SSCO-YDC15</t>
  </si>
  <si>
    <t>Official catalog item preserved; explicit 150 V motor option separated as a pump+motor+controller configuration. Optimum controller input 150–200 VDC; solar-array Voc &lt;300 V; recommended PV power ≥1430 W; outlet 0.75"; cable 2 m. Hydraulic curve is shared by voltage options of the same catalog item.</t>
  </si>
  <si>
    <t>FM093</t>
  </si>
  <si>
    <t>S4SS2.0-110-110(150)-1100</t>
  </si>
  <si>
    <t>S4SS2.0-110-110(150)-1100 [110 V option] + SSCO-YDC11</t>
  </si>
  <si>
    <t>ZRI-S4SS2.0-110-110(150)-1100-QH</t>
  </si>
  <si>
    <t>Official catalog item preserved; explicit 110 V motor option separated as a pump+motor+controller configuration. Optimum controller input 110–150 VDC; solar-array Voc &lt;200 V; recommended PV power ≥1430 W; outlet 1"; cable 2 m. Hydraulic curve is shared by voltage options of the same catalog item.</t>
  </si>
  <si>
    <t>FM094</t>
  </si>
  <si>
    <t>S4SS2.0-110-110(150)-1100 [150 V option] + SSCO-YDC15</t>
  </si>
  <si>
    <t>Official catalog item preserved; explicit 150 V motor option separated as a pump+motor+controller configuration. Optimum controller input 150–200 VDC; solar-array Voc &lt;300 V; recommended PV power ≥1430 W; outlet 1"; cable 2 m. Hydraulic curve is shared by voltage options of the same catalog item.</t>
  </si>
  <si>
    <t>FM095</t>
  </si>
  <si>
    <t>S4SS2.2-150-110(180)-1300</t>
  </si>
  <si>
    <t>S4SS2.2-150-110(180)-1300 [110 V option] + SSCO-YDC11</t>
  </si>
  <si>
    <t>ZRI-S4SS2.2-150-110(180)-1300-QH</t>
  </si>
  <si>
    <t>Official catalog item preserved; explicit 110 V motor option separated as a pump+motor+controller configuration. Optimum controller input 110–150 VDC; solar-array Voc &lt;200 V; recommended PV power ≥1690 W; outlet 1"; cable 2 m. Hydraulic curve is shared by voltage options of the same catalog item.</t>
  </si>
  <si>
    <t>FM096</t>
  </si>
  <si>
    <t>S3HS2.2-180-110(150)-1100</t>
  </si>
  <si>
    <t>S3HS2.2-180-110(150)-1100 [110 V option] + SSCO-YDC11</t>
  </si>
  <si>
    <t>ZRI-S3HS2.2-180-110(150)-1100-QH</t>
  </si>
  <si>
    <t>FM097</t>
  </si>
  <si>
    <t>S3HS2.2-180-110(150)-1100 [150 V option] + SSCO-YDC15</t>
  </si>
  <si>
    <t>FM098</t>
  </si>
  <si>
    <t>SQFlex High Speed</t>
  </si>
  <si>
    <t>SQF 3-105</t>
  </si>
  <si>
    <t>SQF 3-105 high-speed integrated AC/DC inverter system</t>
  </si>
  <si>
    <t>GRU-SQF-HS2500</t>
  </si>
  <si>
    <t>GRU-SQF3-105-QH</t>
  </si>
  <si>
    <t>Official brochure table: 2500 W, 100-300 VDC, 90-240 VAC, max current 12 A. Exact Q-H curve is present in brochure but not yet digitized.</t>
  </si>
  <si>
    <t>FM099</t>
  </si>
  <si>
    <t>SQF 5-70</t>
  </si>
  <si>
    <t>SQF 5-70 high-speed integrated AC/DC inverter system</t>
  </si>
  <si>
    <t>GRU-SQF5-70-QH</t>
  </si>
  <si>
    <t>FM100</t>
  </si>
  <si>
    <t>SQF 7-55</t>
  </si>
  <si>
    <t>SQF 7-55 high-speed integrated AC/DC inverter system</t>
  </si>
  <si>
    <t>GRU-SQF7-55-QH</t>
  </si>
  <si>
    <t>IN001</t>
  </si>
  <si>
    <t>Industrial</t>
  </si>
  <si>
    <t>COM PUMP</t>
  </si>
  <si>
    <t>TD Inline Circulation Centrifugal Pump</t>
  </si>
  <si>
    <t>CTD</t>
  </si>
  <si>
    <t>CTD 100-27/2</t>
  </si>
  <si>
    <t>CTD 100-27/2 + external PV-compatible VFD</t>
  </si>
  <si>
    <t>Inline_circulation</t>
  </si>
  <si>
    <t>Inline</t>
  </si>
  <si>
    <t>PV_VFD_AC</t>
  </si>
  <si>
    <t>AC induction</t>
  </si>
  <si>
    <t>COM-CTD100-27-2-QH</t>
  </si>
  <si>
    <t>SRC020</t>
  </si>
  <si>
    <t>DN 100 mm; 15 HP; 50/60 Hz AC industrial pump. Catalog provides rated flow/head. PV operation is an integration scenario via external VFD; the VFD/controller is not specified in this pump catalog. Q-H curve to be digitized/verified.</t>
  </si>
  <si>
    <t>IN002</t>
  </si>
  <si>
    <t>CTD 100-33/2</t>
  </si>
  <si>
    <t>CTD 100-33/2 + external PV-compatible VFD</t>
  </si>
  <si>
    <t>COM-CTD100-33-2-QH</t>
  </si>
  <si>
    <t>DN 100 mm; 20 HP; 50/60 Hz AC industrial pump. Catalog provides rated flow/head. PV operation is an integration scenario via external VFD; the VFD/controller is not specified in this pump catalog. Q-H curve to be digitized/verified.</t>
  </si>
  <si>
    <t>IN003</t>
  </si>
  <si>
    <t>CTD 100-40/2</t>
  </si>
  <si>
    <t>CTD 100-40/2 + external PV-compatible VFD</t>
  </si>
  <si>
    <t>COM-CTD100-40-2-QH</t>
  </si>
  <si>
    <t>DN 100 mm; 25 HP; 50/60 Hz AC industrial pump. Catalog provides rated flow/head. PV operation is an integration scenario via external VFD; the VFD/controller is not specified in this pump catalog. Q-H curve to be digitized/verified.</t>
  </si>
  <si>
    <t>IN004</t>
  </si>
  <si>
    <t>CTD 100-48/2</t>
  </si>
  <si>
    <t>CTD 100-48/2 + external PV-compatible VFD</t>
  </si>
  <si>
    <t>COM-CTD100-48-2-QH</t>
  </si>
  <si>
    <t>DN 100 mm; 30 HP; 50/60 Hz AC industrial pump. Catalog provides rated flow/head. PV operation is an integration scenario via external VFD; the VFD/controller is not specified in this pump catalog. Q-H curve to be digitized/verified.</t>
  </si>
  <si>
    <t>IN005</t>
  </si>
  <si>
    <t>CTD 100-52/2</t>
  </si>
  <si>
    <t>CTD 100-52/2 + external PV-compatible VFD</t>
  </si>
  <si>
    <t>COM-CTD100-52-2-QH</t>
  </si>
  <si>
    <t>DN 100 mm; 40 HP; 50/60 Hz AC industrial pump. Catalog provides rated flow/head. PV operation is an integration scenario via external VFD; the VFD/controller is not specified in this pump catalog. Q-H curve to be digitized/verified.</t>
  </si>
  <si>
    <t>IN006</t>
  </si>
  <si>
    <t>CTD 125-20/4</t>
  </si>
  <si>
    <t>CTD 125-20/4 + external PV-compatible VFD</t>
  </si>
  <si>
    <t>COM-CTD125-20-4-QH</t>
  </si>
  <si>
    <t>DN 125 mm; 15 HP; 50/60 Hz AC industrial pump. Catalog provides rated flow/head. PV operation is an integration scenario via external VFD; the VFD/controller is not specified in this pump catalog. Q-H curve to be digitized/verified.</t>
  </si>
  <si>
    <t>IN007</t>
  </si>
  <si>
    <t>CTD 125-22/4</t>
  </si>
  <si>
    <t>CTD 125-22/4 + external PV-compatible VFD</t>
  </si>
  <si>
    <t>COM-CTD125-22-4-QH</t>
  </si>
  <si>
    <t>DN 125 mm; 20 HP; 50/60 Hz AC industrial pump. Catalog provides rated flow/head. PV operation is an integration scenario via external VFD; the VFD/controller is not specified in this pump catalog. Q-H curve to be digitized/verified.</t>
  </si>
  <si>
    <t>IN008</t>
  </si>
  <si>
    <t>CTD 125-28/4</t>
  </si>
  <si>
    <t>CTD 125-28/4 + external PV-compatible VFD</t>
  </si>
  <si>
    <t>COM-CTD125-28-4-QH</t>
  </si>
  <si>
    <t>DN 125 mm; 25 HP; 50/60 Hz AC industrial pump. Catalog provides rated flow/head. PV operation is an integration scenario via external VFD; the VFD/controller is not specified in this pump catalog. Q-H curve to be digitized/verified.</t>
  </si>
  <si>
    <t>IN009</t>
  </si>
  <si>
    <t>CTD 125-32/4</t>
  </si>
  <si>
    <t>CTD 125-32/4 + external PV-compatible VFD</t>
  </si>
  <si>
    <t>COM-CTD125-32-4-QH</t>
  </si>
  <si>
    <t>DN 125 mm; 30 HP; 50/60 Hz AC industrial pump. Catalog provides rated flow/head. PV operation is an integration scenario via external VFD; the VFD/controller is not specified in this pump catalog. Q-H curve to be digitized/verified.</t>
  </si>
  <si>
    <t>IN010</t>
  </si>
  <si>
    <t>CTD 125-40/4</t>
  </si>
  <si>
    <t>CTD 125-40/4 + external PV-compatible VFD</t>
  </si>
  <si>
    <t>COM-CTD125-40-4-QH</t>
  </si>
  <si>
    <t>DN 125 mm; 40 HP; 50/60 Hz AC industrial pump. Catalog provides rated flow/head. PV operation is an integration scenario via external VFD; the VFD/controller is not specified in this pump catalog. Q-H curve to be digitized/verified.</t>
  </si>
  <si>
    <t>IN011</t>
  </si>
  <si>
    <t>CTD 125-48/4</t>
  </si>
  <si>
    <t>CTD 125-48/4 + external PV-compatible VFD</t>
  </si>
  <si>
    <t>COM-CTD125-48-4-QH</t>
  </si>
  <si>
    <t>DN 125 mm; 50 HP; 50/60 Hz AC industrial pump. Catalog provides rated flow/head. PV operation is an integration scenario via external VFD; the VFD/controller is not specified in this pump catalog. Q-H curve to be digitized/verified.</t>
  </si>
  <si>
    <t>IN012</t>
  </si>
  <si>
    <t>CTD 150-17/4</t>
  </si>
  <si>
    <t>CTD 150-17/4 + external PV-compatible VFD</t>
  </si>
  <si>
    <t>COM-CTD150-17-4-QH</t>
  </si>
  <si>
    <t>DN 150 mm; 20 HP; 50/60 Hz AC industrial pump. Catalog provides rated flow/head. PV operation is an integration scenario via external VFD; the VFD/controller is not specified in this pump catalog. Q-H curve to be digitized/verified.</t>
  </si>
  <si>
    <t>IN013</t>
  </si>
  <si>
    <t>CTD 150-21/4</t>
  </si>
  <si>
    <t>CTD 150-21/4 + external PV-compatible VFD</t>
  </si>
  <si>
    <t>COM-CTD150-21-4-QH</t>
  </si>
  <si>
    <t>DN 150 mm; 25 HP; 50/60 Hz AC industrial pump. Catalog provides rated flow/head. PV operation is an integration scenario via external VFD; the VFD/controller is not specified in this pump catalog. Q-H curve to be digitized/verified.</t>
  </si>
  <si>
    <t>IN014</t>
  </si>
  <si>
    <t>CTD 150-25/4</t>
  </si>
  <si>
    <t>CTD 150-25/4 + external PV-compatible VFD</t>
  </si>
  <si>
    <t>COM-CTD150-25-4-QH</t>
  </si>
  <si>
    <t>DN 150 mm; 30 HP; 50/60 Hz AC industrial pump. Catalog provides rated flow/head. PV operation is an integration scenario via external VFD; the VFD/controller is not specified in this pump catalog. Q-H curve to be digitized/verified.</t>
  </si>
  <si>
    <t>IN015</t>
  </si>
  <si>
    <t>CTD 150-33/4</t>
  </si>
  <si>
    <t>CTD 150-33/4 + external PV-compatible VFD</t>
  </si>
  <si>
    <t>COM-CTD150-33-4-QH</t>
  </si>
  <si>
    <t>DN 150 mm; 40 HP; 50/60 Hz AC industrial pump. Catalog provides rated flow/head. PV operation is an integration scenario via external VFD; the VFD/controller is not specified in this pump catalog. Q-H curve to be digitized/verified.</t>
  </si>
  <si>
    <t>IN016</t>
  </si>
  <si>
    <t>CTD 150-40/4</t>
  </si>
  <si>
    <t>CTD 150-40/4 + external PV-compatible VFD</t>
  </si>
  <si>
    <t>COM-CTD150-40-4-QH</t>
  </si>
  <si>
    <t>DN 150 mm; 50 HP; 50/60 Hz AC industrial pump. Catalog provides rated flow/head. PV operation is an integration scenario via external VFD; the VFD/controller is not specified in this pump catalog. Q-H curve to be digitized/verified.</t>
  </si>
  <si>
    <t>IN017</t>
  </si>
  <si>
    <t>CTD 150-50/4</t>
  </si>
  <si>
    <t>CTD 150-50/4 + external PV-compatible VFD</t>
  </si>
  <si>
    <t>COM-CTD150-50-4-QH</t>
  </si>
  <si>
    <t>DN 150 mm; 60 HP; 50/60 Hz AC industrial pump. Catalog provides rated flow/head. PV operation is an integration scenario via external VFD; the VFD/controller is not specified in this pump catalog. Q-H curve to be digitized/verified.</t>
  </si>
  <si>
    <t>IN018</t>
  </si>
  <si>
    <t>CTD 200-16/4</t>
  </si>
  <si>
    <t>CTD 200-16/4 + external PV-compatible VFD</t>
  </si>
  <si>
    <t>COM-CTD200-16-4-QH</t>
  </si>
  <si>
    <t>DN 200 mm; 25 HP; 50/60 Hz AC industrial pump. Catalog provides rated flow/head. PV operation is an integration scenario via external VFD; the VFD/controller is not specified in this pump catalog. Q-H curve to be digitized/verified.</t>
  </si>
  <si>
    <t>IN019</t>
  </si>
  <si>
    <t>CTD 200-20/4</t>
  </si>
  <si>
    <t>CTD 200-20/4 + external PV-compatible VFD</t>
  </si>
  <si>
    <t>COM-CTD200-20-4-QH</t>
  </si>
  <si>
    <t>DN 200 mm; 40 HP; 50/60 Hz AC industrial pump. Catalog provides rated flow/head. PV operation is an integration scenario via external VFD; the VFD/controller is not specified in this pump catalog. Q-H curve to be digitized/verified.</t>
  </si>
  <si>
    <t>IN020</t>
  </si>
  <si>
    <t>CTD 200-23/4</t>
  </si>
  <si>
    <t>CTD 200-23/4 + external PV-compatible VFD</t>
  </si>
  <si>
    <t>COM-CTD200-23-4-QH</t>
  </si>
  <si>
    <t>DN 200 mm; 50 HP; 50/60 Hz AC industrial pump. Catalog provides rated flow/head. PV operation is an integration scenario via external VFD; the VFD/controller is not specified in this pump catalog. Q-H curve to be digitized/verified.</t>
  </si>
  <si>
    <t>IN021</t>
  </si>
  <si>
    <t>CTD 200-27/4</t>
  </si>
  <si>
    <t>CTD 200-27/4 + external PV-compatible VFD</t>
  </si>
  <si>
    <t>COM-CTD200-27-4-QH</t>
  </si>
  <si>
    <t>DN 200 mm; 60 HP; 50/60 Hz AC industrial pump. Catalog provides rated flow/head. PV operation is an integration scenario via external VFD; the VFD/controller is not specified in this pump catalog. Q-H curve to be digitized/verified.</t>
  </si>
  <si>
    <t>IN022</t>
  </si>
  <si>
    <t>CTD 200-32/4</t>
  </si>
  <si>
    <t>CTD 200-32/4 + external PV-compatible VFD</t>
  </si>
  <si>
    <t>COM-CTD200-32-4-QH</t>
  </si>
  <si>
    <t>DN 200 mm; 75 HP; 50/60 Hz AC industrial pump. Catalog provides rated flow/head. PV operation is an integration scenario via external VFD; the VFD/controller is not specified in this pump catalog. Q-H curve to be digitized/verified.</t>
  </si>
  <si>
    <t>IN023</t>
  </si>
  <si>
    <t>CTD 250-20/4</t>
  </si>
  <si>
    <t>CTD 250-20/4 + external PV-compatible VFD</t>
  </si>
  <si>
    <t>COM-CTD250-20-4-QH</t>
  </si>
  <si>
    <t>DN 250 mm; 75 HP; 50/60 Hz AC industrial pump. Catalog provides rated flow/head. PV operation is an integration scenario via external VFD; the VFD/controller is not specified in this pump catalog. Q-H curve to be digitized/verified.</t>
  </si>
  <si>
    <t>IN024</t>
  </si>
  <si>
    <t>CTD 250-32/4</t>
  </si>
  <si>
    <t>CTD 250-32/4 + external PV-compatible VFD</t>
  </si>
  <si>
    <t>COM-CTD250-32-4-QH</t>
  </si>
  <si>
    <t>DN 250 mm; 125 HP; 50/60 Hz AC industrial pump. Catalog provides rated flow/head. PV operation is an integration scenario via external VFD; the VFD/controller is not specified in this pump catalog. Q-H curve to be digitized/verified.</t>
  </si>
  <si>
    <t>IN025</t>
  </si>
  <si>
    <t>CTD 300-55/4</t>
  </si>
  <si>
    <t>CTD 300-55/4 + external PV-compatible VFD</t>
  </si>
  <si>
    <t>COM-CTD300-55-4-QH</t>
  </si>
  <si>
    <t>DN 300 mm; 270 HP; 50/60 Hz AC industrial pump. Catalog provides rated flow/head. PV operation is an integration scenario via external VFD; the VFD/controller is not specified in this pump catalog. Q-H curve to be digitized/verified.</t>
  </si>
  <si>
    <t>IN026</t>
  </si>
  <si>
    <t>PSk2 Centrifugal Solar Pump System</t>
  </si>
  <si>
    <t>PSk2 Submersible</t>
  </si>
  <si>
    <t>PSk2-7</t>
  </si>
  <si>
    <t>PSk2-7 submersible system class</t>
  </si>
  <si>
    <t>LOR-PSK2-7</t>
  </si>
  <si>
    <t>LOR-PSk2-7-SUB-QH</t>
  </si>
  <si>
    <t>SRC024</t>
  </si>
  <si>
    <t>Official PSk2 submersible brochure system class; max flow 128 m³/h, max TDH 80 m, solar Voc max 850 VDC. Pump-end model and detailed curve still require final model-level selection.</t>
  </si>
  <si>
    <t>IN027</t>
  </si>
  <si>
    <t>PSk2-9</t>
  </si>
  <si>
    <t>PSk2-9 submersible system class</t>
  </si>
  <si>
    <t>LOR-PSK2-9</t>
  </si>
  <si>
    <t>LOR-PSk2-9-SUB-QH</t>
  </si>
  <si>
    <t>Official PSk2 submersible brochure system class; max flow 39 m³/h, max TDH 180 m, solar Voc max 850 VDC. Pump-end model and detailed curve still require final model-level selection.</t>
  </si>
  <si>
    <t>IN028</t>
  </si>
  <si>
    <t>PSk2-15</t>
  </si>
  <si>
    <t>PSk2-15 submersible system class</t>
  </si>
  <si>
    <t>LOR-PSK2-15</t>
  </si>
  <si>
    <t>LOR-PSk2-15-SUB-QH</t>
  </si>
  <si>
    <t>Official PSk2 submersible brochure system class; max flow 235 m³/h, max TDH 140 m, solar Voc max 850 VDC. Pump-end model and detailed curve still require final model-level selection.</t>
  </si>
  <si>
    <t>IN029</t>
  </si>
  <si>
    <t>PSk2-21</t>
  </si>
  <si>
    <t>PSk2-21 submersible system class</t>
  </si>
  <si>
    <t>LOR-PSK2-21</t>
  </si>
  <si>
    <t>LOR-PSk2-21-SUB-QH</t>
  </si>
  <si>
    <t>Official PSk2 submersible brochure system class; max flow 218 m³/h, max TDH 120 m, solar Voc max 850 VDC. Pump-end model and detailed curve still require final model-level selection.</t>
  </si>
  <si>
    <t>IN030</t>
  </si>
  <si>
    <t>PSk2-25</t>
  </si>
  <si>
    <t>PSk2-25 submersible system class</t>
  </si>
  <si>
    <t>LOR-PSK2-25</t>
  </si>
  <si>
    <t>LOR-PSk2-25-SUB-QH</t>
  </si>
  <si>
    <t>Official PSk2 submersible brochure system class; max flow 228 m³/h, max TDH 200 m, solar Voc max 850 VDC. Pump-end model and detailed curve still require final model-level selection.</t>
  </si>
  <si>
    <t>IN031</t>
  </si>
  <si>
    <t>PSk2-40</t>
  </si>
  <si>
    <t>PSk2-40 submersible system class</t>
  </si>
  <si>
    <t>LOR-PSK2-40</t>
  </si>
  <si>
    <t>LOR-PSk2-40-SUB-QH</t>
  </si>
  <si>
    <t>Official PSk2 submersible brochure system class; max flow 241 m³/h, max TDH 200 m, solar Voc max 850 VDC. Pump-end model and detailed curve still require final model-level selection.</t>
  </si>
  <si>
    <t>IN032</t>
  </si>
  <si>
    <t>PSk2 Surface</t>
  </si>
  <si>
    <t>PSk2-7 surface system class</t>
  </si>
  <si>
    <t>Stationary</t>
  </si>
  <si>
    <t>LOR-PSk2-7-SURF-QH</t>
  </si>
  <si>
    <t>SRC025</t>
  </si>
  <si>
    <t>Official PSk2 surface brochure system class; max flow 114 m³/h, max TDH 90 m, solar Voc max 850 VDC. Pump-end model and detailed curve still require final model-level selection.</t>
  </si>
  <si>
    <t>IN033</t>
  </si>
  <si>
    <t>PSk2-9 surface system class</t>
  </si>
  <si>
    <t>LOR-PSk2-9-SURF-QH</t>
  </si>
  <si>
    <t>Official PSk2 surface brochure system class; max flow 120 m³/h, max TDH 80 m, solar Voc max 850 VDC. Pump-end model and detailed curve still require final model-level selection.</t>
  </si>
  <si>
    <t>IN034</t>
  </si>
  <si>
    <t>PSk2-15 surface system class</t>
  </si>
  <si>
    <t>LOR-PSk2-15-SURF-QH</t>
  </si>
  <si>
    <t>Official PSk2 surface brochure system class; max flow 279 m³/h, max TDH 80 m, solar Voc max 850 VDC. Pump-end model and detailed curve still require final model-level selection.</t>
  </si>
  <si>
    <t>IN035</t>
  </si>
  <si>
    <t>PSk2-21 surface system class</t>
  </si>
  <si>
    <t>LOR-PSk2-21-SURF-QH</t>
  </si>
  <si>
    <t>Official PSk2 surface brochure system class; max flow 306 m³/h, max TDH 80 m, solar Voc max 850 VDC. Pump-end model and detailed curve still require final model-level selection.</t>
  </si>
  <si>
    <t>IN036</t>
  </si>
  <si>
    <t>PSk2-25 surface system class</t>
  </si>
  <si>
    <t>LOR-PSk2-25-SURF-QH</t>
  </si>
  <si>
    <t>Official PSk2 surface brochure system class; max flow 457 m³/h, max TDH 40 m, solar Voc max 850 VDC. Pump-end model and detailed curve still require final model-level selection.</t>
  </si>
  <si>
    <t>IN037</t>
  </si>
  <si>
    <t>PSk2-40 surface system class</t>
  </si>
  <si>
    <t>LOR-PSk2-40-SURF-QH</t>
  </si>
  <si>
    <t>Official PSk2 surface brochure system class; max flow 499 m³/h, max TDH 90 m, solar Voc max 850 VDC. Pump-end model and detailed curve still require final model-level selection.</t>
  </si>
  <si>
    <t>IN038</t>
  </si>
  <si>
    <t>SAER</t>
  </si>
  <si>
    <t>Industrial Water Pump</t>
  </si>
  <si>
    <t>SKD/NCB</t>
  </si>
  <si>
    <t>SKDW4P250-400-G kW200 (MT315) D395</t>
  </si>
  <si>
    <t>SKDW4P250-400-G kW200 (MT315) D395 + project drive/inverter configuration</t>
  </si>
  <si>
    <t>Split_case</t>
  </si>
  <si>
    <t>SAER-TDS-HYBRID</t>
  </si>
  <si>
    <t>SAER-SKDW4P250-400-G-kW200-MT315-D395-QH</t>
  </si>
  <si>
    <t>SRC035</t>
  </si>
  <si>
    <t>Official case study</t>
  </si>
  <si>
    <t>Official SAER solar-irrigation project in Central Asia; each pump powered by 240 kWp solar via TDS Hybrid AC/DC system. For non-solar project examples, PV/VFD front-end is a dataset integration scenario and remains to be assigned.</t>
  </si>
  <si>
    <t>IN039</t>
  </si>
  <si>
    <t>SKD 250-400/425</t>
  </si>
  <si>
    <t>SKD 250-400/425 + project drive/inverter configuration</t>
  </si>
  <si>
    <t>SAER-SKD-250-400-425-QH</t>
  </si>
  <si>
    <t>SRC036</t>
  </si>
  <si>
    <t>Official SAER Vietnam project; 200 kW, 4-pole, 50 Hz, 400 V. Project page does not publish a duty point. For non-solar project examples, PV/VFD front-end is a dataset integration scenario and remains to be assigned.</t>
  </si>
  <si>
    <t>IN040</t>
  </si>
  <si>
    <t>SKDVZ 4P 150-400</t>
  </si>
  <si>
    <t>SKDVZ 4P 150-400 + project drive/inverter configuration</t>
  </si>
  <si>
    <t>SAER-SKDVZ-4P-150-400-QH</t>
  </si>
  <si>
    <t>SRC037</t>
  </si>
  <si>
    <t>Official SAER agricultural consortium project; Q=80 l/s (288 m³/h), H=50 m, 75 kW, 400 V, 50 Hz IE3. For non-solar project examples, PV/VFD front-end is a dataset integration scenario and remains to be assigned.</t>
  </si>
  <si>
    <t>IN041</t>
  </si>
  <si>
    <t>SKDV 250-450</t>
  </si>
  <si>
    <t>SKDV 250-450 + project drive/inverter configuration</t>
  </si>
  <si>
    <t>SAER-SKDV-250-450-QH</t>
  </si>
  <si>
    <t>Official SAER agricultural consortium project; Q=80 l/s (288 m³/h), H=50 m, existing 200 kW motor. For non-solar project examples, PV/VFD front-end is a dataset integration scenario and remains to be assigned.</t>
  </si>
  <si>
    <t>IN042</t>
  </si>
  <si>
    <t>NCBZ 4P 80-400 A</t>
  </si>
  <si>
    <t>NCBZ 4P 80-400 A + project drive/inverter configuration</t>
  </si>
  <si>
    <t>End_suction</t>
  </si>
  <si>
    <t>SAER-NCBZ-4P-80-400-A-QH</t>
  </si>
  <si>
    <t>SRC038</t>
  </si>
  <si>
    <t>Official SAER water-distribution project in Iraq; 45 kW; duty point Q=100 m³/h, H=60 m. For non-solar project examples, PV/VFD front-end is a dataset integration scenario and remains to be assigned.</t>
  </si>
  <si>
    <t>IN043</t>
  </si>
  <si>
    <t>SKDZ 4P 200-630</t>
  </si>
  <si>
    <t>SKDZ 4P 200-630 + project drive/inverter configuration</t>
  </si>
  <si>
    <t>SAER-SKDZ-4P-200-630-QH</t>
  </si>
  <si>
    <t>SRC039</t>
  </si>
  <si>
    <t>Official SAER split-case water-distribution project; 400 kW, 400 V; duty point Q=807 m³/h, H=115 m. For non-solar project examples, PV/VFD front-end is a dataset integration scenario and remains to be assigned.</t>
  </si>
  <si>
    <t>IN044</t>
  </si>
  <si>
    <t>Wilo</t>
  </si>
  <si>
    <t>Atmos GIGA-N</t>
  </si>
  <si>
    <t>Atmos GIGA-N 32/125-1,1/2</t>
  </si>
  <si>
    <t>Atmos GIGA-N 32/125-1,1/2 + Wilo-EFC speed control / PV front-end</t>
  </si>
  <si>
    <t>WIL-EFC-GIGAN</t>
  </si>
  <si>
    <t>WIL-6086292-QH</t>
  </si>
  <si>
    <t>SRC026</t>
  </si>
  <si>
    <t>Official Wilo model-level data: rated P2=1.1 kW; suction DN 50, discharge DN 32; article 6086292; 3~400 V, 50 Hz family. Wilo states Atmos GIGA-N speed is controlled by Wilo-EFC. PV DC front-end is not specified by Wilo and remains a separate integration component; Q-H curve pending import.</t>
  </si>
  <si>
    <t>IN045</t>
  </si>
  <si>
    <t>Atmos GIGA-N 32/125-1,1/2-P5</t>
  </si>
  <si>
    <t>Atmos GIGA-N 32/125-1,1/2-P5 + Wilo-EFC speed control / PV front-end</t>
  </si>
  <si>
    <t>WIL-6086700-QH</t>
  </si>
  <si>
    <t>Official Wilo model-level data: rated P2=1.1 kW; suction DN 50, discharge DN 32; article 6086700; 3~400 V, 50 Hz family. Wilo states Atmos GIGA-N speed is controlled by Wilo-EFC. PV DC front-end is not specified by Wilo and remains a separate integration component; Q-H curve pending import.</t>
  </si>
  <si>
    <t>IN046</t>
  </si>
  <si>
    <t>Atmos GIGA-N 32/125-1,5/2</t>
  </si>
  <si>
    <t>Atmos GIGA-N 32/125-1,5/2 + Wilo-EFC speed control / PV front-end</t>
  </si>
  <si>
    <t>WIL-6086293-QH</t>
  </si>
  <si>
    <t>Official Wilo model-level data: rated P2=1.5 kW; suction DN 50, discharge DN 32; article 6086293; 3~400 V, 50 Hz family. Wilo states Atmos GIGA-N speed is controlled by Wilo-EFC. PV DC front-end is not specified by Wilo and remains a separate integration component; Q-H curve pending import.</t>
  </si>
  <si>
    <t>IN047</t>
  </si>
  <si>
    <t>Atmos GIGA-N 32/125-1,5/2-P5</t>
  </si>
  <si>
    <t>Atmos GIGA-N 32/125-1,5/2-P5 + Wilo-EFC speed control / PV front-end</t>
  </si>
  <si>
    <t>WIL-6086701-QH</t>
  </si>
  <si>
    <t>Official Wilo model-level data: rated P2=1.5 kW; suction DN 50, discharge DN 32; article 6086701; 3~400 V, 50 Hz family. Wilo states Atmos GIGA-N speed is controlled by Wilo-EFC. PV DC front-end is not specified by Wilo and remains a separate integration component; Q-H curve pending import.</t>
  </si>
  <si>
    <t>IN048</t>
  </si>
  <si>
    <t>Atmos GIGA-N 32/125-2,2/2</t>
  </si>
  <si>
    <t>Atmos GIGA-N 32/125-2,2/2 + Wilo-EFC speed control / PV front-end</t>
  </si>
  <si>
    <t>WIL-6086294-QH</t>
  </si>
  <si>
    <t>Official Wilo model-level data: rated P2=2.2 kW; suction DN 50, discharge DN 32; article 6086294; 3~400 V, 50 Hz family. Wilo states Atmos GIGA-N speed is controlled by Wilo-EFC. PV DC front-end is not specified by Wilo and remains a separate integration component; Q-H curve pending import.</t>
  </si>
  <si>
    <t>IN049</t>
  </si>
  <si>
    <t>Atmos GIGA-N 32/125-2,2/2-P5</t>
  </si>
  <si>
    <t>Atmos GIGA-N 32/125-2,2/2-P5 + Wilo-EFC speed control / PV front-end</t>
  </si>
  <si>
    <t>WIL-6086702-QH</t>
  </si>
  <si>
    <t>Official Wilo model-level data: rated P2=2.2 kW; suction DN 50, discharge DN 32; article 6086702; 3~400 V, 50 Hz family. Wilo states Atmos GIGA-N speed is controlled by Wilo-EFC. PV DC front-end is not specified by Wilo and remains a separate integration component; Q-H curve pending import.</t>
  </si>
  <si>
    <t>IN050</t>
  </si>
  <si>
    <t>Atmos GIGA-N 32/125-3/2</t>
  </si>
  <si>
    <t>Atmos GIGA-N 32/125-3/2 + Wilo-EFC speed control / PV front-end</t>
  </si>
  <si>
    <t>WIL-6086295-QH</t>
  </si>
  <si>
    <t>Official Wilo model-level data: rated P2=3 kW; suction DN 50, discharge DN 32; article 6086295; 3~400 V, 50 Hz family. Wilo states Atmos GIGA-N speed is controlled by Wilo-EFC. PV DC front-end is not specified by Wilo and remains a separate integration component; Q-H curve pending import.</t>
  </si>
  <si>
    <t>IN051</t>
  </si>
  <si>
    <t>Atmos GIGA-N 32/125-3/2-P5</t>
  </si>
  <si>
    <t>Atmos GIGA-N 32/125-3/2-P5 + Wilo-EFC speed control / PV front-end</t>
  </si>
  <si>
    <t>WIL-6086703-QH</t>
  </si>
  <si>
    <t>Official Wilo model-level data: rated P2=3 kW; suction DN 50, discharge DN 32; article 6086703; 3~400 V, 50 Hz family. Wilo states Atmos GIGA-N speed is controlled by Wilo-EFC. PV DC front-end is not specified by Wilo and remains a separate integration component; Q-H curve pending import.</t>
  </si>
  <si>
    <t>IN052</t>
  </si>
  <si>
    <t>Atmos GIGA-N 32/125-4/2</t>
  </si>
  <si>
    <t>Atmos GIGA-N 32/125-4/2 + Wilo-EFC speed control / PV front-end</t>
  </si>
  <si>
    <t>WIL-6086296-QH</t>
  </si>
  <si>
    <t>Official Wilo model-level data: rated P2=4 kW; suction DN 50, discharge DN 32; article 6086296; 3~400 V, 50 Hz family. Wilo states Atmos GIGA-N speed is controlled by Wilo-EFC. PV DC front-end is not specified by Wilo and remains a separate integration component; Q-H curve pending import.</t>
  </si>
  <si>
    <t>IN053</t>
  </si>
  <si>
    <t>Atmos GIGA-N 32/125-4/2-P5</t>
  </si>
  <si>
    <t>Atmos GIGA-N 32/125-4/2-P5 + Wilo-EFC speed control / PV front-end</t>
  </si>
  <si>
    <t>WIL-6086704-QH</t>
  </si>
  <si>
    <t>Official Wilo model-level data: rated P2=4 kW; suction DN 50, discharge DN 32; article 6086704; 3~400 V, 50 Hz family. Wilo states Atmos GIGA-N speed is controlled by Wilo-EFC. PV DC front-end is not specified by Wilo and remains a separate integration component; Q-H curve pending import.</t>
  </si>
  <si>
    <t>IN054</t>
  </si>
  <si>
    <t>Atmos GIGA-N 32/160-2,2/2</t>
  </si>
  <si>
    <t>Atmos GIGA-N 32/160-2,2/2 + Wilo-EFC speed control / PV front-end</t>
  </si>
  <si>
    <t>WIL-6086579-QH</t>
  </si>
  <si>
    <t>Official Wilo model-level data: rated P2=2.2 kW; suction DN 50, discharge DN 32; article 6086579; 3~400 V, 50 Hz family. Wilo states Atmos GIGA-N speed is controlled by Wilo-EFC. PV DC front-end is not specified by Wilo and remains a separate integration component; Q-H curve pending import.</t>
  </si>
  <si>
    <t>IN055</t>
  </si>
  <si>
    <t>Atmos GIGA-N 32/160-2,2/2-P5</t>
  </si>
  <si>
    <t>Atmos GIGA-N 32/160-2,2/2-P5 + Wilo-EFC speed control / PV front-end</t>
  </si>
  <si>
    <t>WIL-6086987-QH</t>
  </si>
  <si>
    <t>Official Wilo model-level data: rated P2=2.2 kW; suction DN 50, discharge DN 32; article 6086987; 3~400 V, 50 Hz family. Wilo states Atmos GIGA-N speed is controlled by Wilo-EFC. PV DC front-end is not specified by Wilo and remains a separate integration component; Q-H curve pending import.</t>
  </si>
  <si>
    <t>IN056</t>
  </si>
  <si>
    <t>Atmos GIGA-N 32/160-3/2</t>
  </si>
  <si>
    <t>Atmos GIGA-N 32/160-3/2 + Wilo-EFC speed control / PV front-end</t>
  </si>
  <si>
    <t>WIL-6086578-QH</t>
  </si>
  <si>
    <t>Official Wilo model-level data: rated P2=3 kW; suction DN 50, discharge DN 32; article 6086578; 3~400 V, 50 Hz family. Wilo states Atmos GIGA-N speed is controlled by Wilo-EFC. PV DC front-end is not specified by Wilo and remains a separate integration component; Q-H curve pending import.</t>
  </si>
  <si>
    <t>IN057</t>
  </si>
  <si>
    <t>Atmos GIGA-N 32/160-3/2-P5</t>
  </si>
  <si>
    <t>Atmos GIGA-N 32/160-3/2-P5 + Wilo-EFC speed control / PV front-end</t>
  </si>
  <si>
    <t>WIL-6086986-QH</t>
  </si>
  <si>
    <t>Official Wilo model-level data: rated P2=3 kW; suction DN 50, discharge DN 32; article 6086986; 3~400 V, 50 Hz family. Wilo states Atmos GIGA-N speed is controlled by Wilo-EFC. PV DC front-end is not specified by Wilo and remains a separate integration component; Q-H curve pending import.</t>
  </si>
  <si>
    <t>IN058</t>
  </si>
  <si>
    <t>Atmos GIGA-N 32/160-4/2</t>
  </si>
  <si>
    <t>Atmos GIGA-N 32/160-4/2 + Wilo-EFC speed control / PV front-end</t>
  </si>
  <si>
    <t>WIL-6086577-QH</t>
  </si>
  <si>
    <t>Official Wilo model-level data: rated P2=4 kW; suction DN 50, discharge DN 32; article 6086577; 3~400 V, 50 Hz family. Wilo states Atmos GIGA-N speed is controlled by Wilo-EFC. PV DC front-end is not specified by Wilo and remains a separate integration component; Q-H curve pending import.</t>
  </si>
  <si>
    <t>IN059</t>
  </si>
  <si>
    <t>Atmos GIGA-N 32/160-4/2-P5</t>
  </si>
  <si>
    <t>Atmos GIGA-N 32/160-4/2-P5 + Wilo-EFC speed control / PV front-end</t>
  </si>
  <si>
    <t>WIL-6086985-QH</t>
  </si>
  <si>
    <t>Official Wilo model-level data: rated P2=4 kW; suction DN 50, discharge DN 32; article 6086985; 3~400 V, 50 Hz family. Wilo states Atmos GIGA-N speed is controlled by Wilo-EFC. PV DC front-end is not specified by Wilo and remains a separate integration component; Q-H curve pending import.</t>
  </si>
  <si>
    <t>IN060</t>
  </si>
  <si>
    <t>Atmos GIGA-N 32/160-5,5/2</t>
  </si>
  <si>
    <t>Atmos GIGA-N 32/160-5,5/2 + Wilo-EFC speed control / PV front-end</t>
  </si>
  <si>
    <t>WIL-6086576-QH</t>
  </si>
  <si>
    <t>Official Wilo model-level data: rated P2=5.5 kW; suction DN 50, discharge DN 32; article 6086576; 3~400 V, 50 Hz family. Wilo states Atmos GIGA-N speed is controlled by Wilo-EFC. PV DC front-end is not specified by Wilo and remains a separate integration component; Q-H curve pending import.</t>
  </si>
  <si>
    <t>IN061</t>
  </si>
  <si>
    <t>Atmos GIGA-N 40/200-11/2</t>
  </si>
  <si>
    <t>Atmos GIGA-N 40/200-11/2 + Wilo-EFC speed control / PV front-end</t>
  </si>
  <si>
    <t>WIL-6086537-QH</t>
  </si>
  <si>
    <t>SRC027</t>
  </si>
  <si>
    <t>Official Wilo model-level data: rated P2=11 kW; suction DN 65, discharge DN 40; article 6086537; 3~400 V, 50 Hz family. Wilo states Atmos GIGA-N speed is controlled by Wilo-EFC. PV DC front-end is not specified by Wilo and remains a separate integration component; Q-H curve pending import.</t>
  </si>
  <si>
    <t>IN062</t>
  </si>
  <si>
    <t>Atmos GIGA-N 65/125-11/2-P5</t>
  </si>
  <si>
    <t>Atmos GIGA-N 65/125-11/2-P5 + Wilo-EFC speed control / PV front-end</t>
  </si>
  <si>
    <t>WIL-6086744-QH</t>
  </si>
  <si>
    <t>SRC028</t>
  </si>
  <si>
    <t>Official Wilo model-level data: rated P2=11 kW; suction DN 80, discharge DN 65; article 6086744; 3~400 V, 50 Hz family. Wilo states Atmos GIGA-N speed is controlled by Wilo-EFC. PV DC front-end is not specified by Wilo and remains a separate integration component; Q-H curve pending import.</t>
  </si>
  <si>
    <t>IN063</t>
  </si>
  <si>
    <t>Atmos GIGA-N 50/250-22/2</t>
  </si>
  <si>
    <t>Atmos GIGA-N 50/250-22/2 + Wilo-EFC speed control / PV front-end</t>
  </si>
  <si>
    <t>WIL-6086490-QH</t>
  </si>
  <si>
    <t>SRC029</t>
  </si>
  <si>
    <t>Official Wilo model-level data: rated P2=22 kW; suction DN 65, discharge DN 50; article 6086490; 3~400 V, 50 Hz family. Wilo states Atmos GIGA-N speed is controlled by Wilo-EFC. PV DC front-end is not specified by Wilo and remains a separate integration component; Q-H curve pending import.</t>
  </si>
  <si>
    <t>IN064</t>
  </si>
  <si>
    <t>Atmos GIGA-N 65/250-30/2</t>
  </si>
  <si>
    <t>Atmos GIGA-N 65/250-30/2 + Wilo-EFC speed control / PV front-end</t>
  </si>
  <si>
    <t>WIL-6086469-QH</t>
  </si>
  <si>
    <t>SRC030</t>
  </si>
  <si>
    <t>Official Wilo model-level data: rated P2=30 kW; suction DN 80, discharge DN 65; article 6086469; 3~400 V, 50 Hz family. Wilo states Atmos GIGA-N speed is controlled by Wilo-EFC. PV DC front-end is not specified by Wilo and remains a separate integration component; Q-H curve pending import.</t>
  </si>
  <si>
    <t>IN065</t>
  </si>
  <si>
    <t>Atmos GIGA-N 80/250-45/2-P5</t>
  </si>
  <si>
    <t>Atmos GIGA-N 80/250-45/2-P5 + Wilo-EFC speed control / PV front-end</t>
  </si>
  <si>
    <t>WIL-6086853-QH</t>
  </si>
  <si>
    <t>SRC031</t>
  </si>
  <si>
    <t>Official Wilo model-level data: rated P2=45 kW; suction DN 100, discharge DN 80; article 6086853; 3~400 V, 50 Hz family. Wilo states Atmos GIGA-N speed is controlled by Wilo-EFC. PV DC front-end is not specified by Wilo and remains a separate integration component; Q-H curve pending import.</t>
  </si>
  <si>
    <t>IN066</t>
  </si>
  <si>
    <t>Atmos GIGA-N 100/250-55/2</t>
  </si>
  <si>
    <t>Atmos GIGA-N 100/250-55/2 + Wilo-EFC speed control / PV front-end</t>
  </si>
  <si>
    <t>WIL-6086227-QH</t>
  </si>
  <si>
    <t>SRC032</t>
  </si>
  <si>
    <t>Official Wilo model-level data: rated P2=55 kW; suction DN 125, discharge DN 100; article 6086227; 3~400 V, 50 Hz family. Wilo states Atmos GIGA-N speed is controlled by Wilo-EFC. PV DC front-end is not specified by Wilo and remains a separate integration component; Q-H curve pending import.</t>
  </si>
  <si>
    <t>IN067</t>
  </si>
  <si>
    <t>Atmos GIGA-N 100/250-75/2-IE4</t>
  </si>
  <si>
    <t>Atmos GIGA-N 100/250-75/2-IE4 + Wilo-EFC speed control / PV front-end</t>
  </si>
  <si>
    <t>WIL-6096281-QH</t>
  </si>
  <si>
    <t>SRC033</t>
  </si>
  <si>
    <t>Official Wilo model-level data: rated P2=75 kW; suction DN 125, discharge DN 100; article 6096281; 3~400 V, 50 Hz family. Wilo states Atmos GIGA-N speed is controlled by Wilo-EFC. PV DC front-end is not specified by Wilo and remains a separate integration component; Q-H curve pending import.</t>
  </si>
  <si>
    <t>IN068</t>
  </si>
  <si>
    <t>Atmos GIGA-N 125/250-90/2-IE4</t>
  </si>
  <si>
    <t>Atmos GIGA-N 125/250-90/2-IE4 + Wilo-EFC speed control / PV front-end</t>
  </si>
  <si>
    <t>WIL-6096230-QH</t>
  </si>
  <si>
    <t>SRC034</t>
  </si>
  <si>
    <t>Official Wilo model-level data: rated P2=90 kW; suction DN 150, discharge DN 125; article 6096230; 3~400 V, 50 Hz family. Wilo states Atmos GIGA-N speed is controlled by Wilo-EFC. PV DC front-end is not specified by Wilo and remains a separate integration component; Q-H curve pending import.</t>
  </si>
  <si>
    <t>IN069</t>
  </si>
  <si>
    <t>Fhoton SolarPAK High HP</t>
  </si>
  <si>
    <t>10FDSP-5HP</t>
  </si>
  <si>
    <t>10FDSP-5HP solar pumping package</t>
  </si>
  <si>
    <t>FRA-FHOTON-5p0HP</t>
  </si>
  <si>
    <t>FRA-10FDSP-5HP-QH</t>
  </si>
  <si>
    <t>Official Fhoton SolarPAK 5-10 hp order table: 5 hp; flow class 10 US gpm (2.271 m³/h converted). Package includes solar controller, submersible motor and pump. Head and Q-H curve require product-specific curve capture.</t>
  </si>
  <si>
    <t>IN070</t>
  </si>
  <si>
    <t>15FDSP-5HP</t>
  </si>
  <si>
    <t>15FDSP-5HP solar pumping package</t>
  </si>
  <si>
    <t>FRA-15FDSP-5HP-QH</t>
  </si>
  <si>
    <t>Official Fhoton SolarPAK 5-10 hp order table: 5 hp; flow class 15 US gpm (3.407 m³/h converted). Package includes solar controller, submersible motor and pump. Head and Q-H curve require product-specific curve capture.</t>
  </si>
  <si>
    <t>IN071</t>
  </si>
  <si>
    <t>25FDSP-5HP</t>
  </si>
  <si>
    <t>25FDSP-5HP solar pumping package</t>
  </si>
  <si>
    <t>FRA-25FDSP-5HP-QH</t>
  </si>
  <si>
    <t>Official Fhoton SolarPAK 5-10 hp order table: 5 hp; flow class 25 US gpm (5.678 m³/h converted). Package includes solar controller, submersible motor and pump. Head and Q-H curve require product-specific curve capture.</t>
  </si>
  <si>
    <t>IN072</t>
  </si>
  <si>
    <t>35FDSP-5HP</t>
  </si>
  <si>
    <t>35FDSP-5HP solar pumping package</t>
  </si>
  <si>
    <t>FRA-35FDSP-5HP-QH</t>
  </si>
  <si>
    <t>Official Fhoton SolarPAK 5-10 hp order table: 5 hp; flow class 35 US gpm (7.949 m³/h converted). Package includes solar controller, submersible motor and pump. Head and Q-H curve require product-specific curve capture.</t>
  </si>
  <si>
    <t>IN073</t>
  </si>
  <si>
    <t>45FDSP-5HP</t>
  </si>
  <si>
    <t>45FDSP-5HP solar pumping package</t>
  </si>
  <si>
    <t>FRA-45FDSP-5HP-QH</t>
  </si>
  <si>
    <t>Official Fhoton SolarPAK 5-10 hp order table: 5 hp; flow class 45 US gpm (10.221 m³/h converted). Package includes solar controller, submersible motor and pump. Head and Q-H curve require product-specific curve capture.</t>
  </si>
  <si>
    <t>IN074</t>
  </si>
  <si>
    <t>60FDSP-5HP</t>
  </si>
  <si>
    <t>60FDSP-5HP solar pumping package</t>
  </si>
  <si>
    <t>FRA-60FDSP-5HP-QH</t>
  </si>
  <si>
    <t>Official Fhoton SolarPAK 5-10 hp order table: 5 hp; flow class 60 US gpm (13.627 m³/h converted). Package includes solar controller, submersible motor and pump. Head and Q-H curve require product-specific curve capture.</t>
  </si>
  <si>
    <t>IN075</t>
  </si>
  <si>
    <t>90FDSP-5HP</t>
  </si>
  <si>
    <t>90FDSP-5HP solar pumping package</t>
  </si>
  <si>
    <t>FRA-90FDSP-5HP-QH</t>
  </si>
  <si>
    <t>Official Fhoton SolarPAK 5-10 hp order table: 5 hp; flow class 90 US gpm (20.441 m³/h converted). Package includes solar controller, submersible motor and pump. Head and Q-H curve require product-specific curve capture.</t>
  </si>
  <si>
    <t>IN076</t>
  </si>
  <si>
    <t>100FDSP-5HP</t>
  </si>
  <si>
    <t>100FDSP-5HP solar pumping package</t>
  </si>
  <si>
    <t>FRA-100FDSP-5HP-QH</t>
  </si>
  <si>
    <t>Official Fhoton SolarPAK 5-10 hp order table: 5 hp; flow class 100 US gpm (22.712 m³/h converted). Package includes solar controller, submersible motor and pump. Head and Q-H curve require product-specific curve capture.</t>
  </si>
  <si>
    <t>IN077</t>
  </si>
  <si>
    <t>125FDSP-5HP</t>
  </si>
  <si>
    <t>125FDSP-5HP solar pumping package</t>
  </si>
  <si>
    <t>FRA-125FDSP-5HP-QH</t>
  </si>
  <si>
    <t>Official Fhoton SolarPAK 5-10 hp order table: 5 hp; flow class 125 US gpm (28.391 m³/h converted). Package includes solar controller, submersible motor and pump. Head and Q-H curve require product-specific curve capture.</t>
  </si>
  <si>
    <t>IN078</t>
  </si>
  <si>
    <t>150FDSP-5HP</t>
  </si>
  <si>
    <t>150FDSP-5HP solar pumping package</t>
  </si>
  <si>
    <t>FRA-150FDSP-5HP-QH</t>
  </si>
  <si>
    <t>Official Fhoton SolarPAK 5-10 hp order table: 5 hp; flow class 150 US gpm (34.069 m³/h converted). Package includes solar controller, submersible motor and pump. Head and Q-H curve require product-specific curve capture.</t>
  </si>
  <si>
    <t>IN079</t>
  </si>
  <si>
    <t>180FDSP-5HP</t>
  </si>
  <si>
    <t>180FDSP-5HP solar pumping package</t>
  </si>
  <si>
    <t>FRA-180FDSP-5HP-QH</t>
  </si>
  <si>
    <t>Official Fhoton SolarPAK 5-10 hp order table: 5 hp; flow class 180 US gpm (40.882 m³/h converted). Package includes solar controller, submersible motor and pump. Head and Q-H curve require product-specific curve capture.</t>
  </si>
  <si>
    <t>IN080</t>
  </si>
  <si>
    <t>220FDSP-5HP</t>
  </si>
  <si>
    <t>220FDSP-5HP solar pumping package</t>
  </si>
  <si>
    <t>FRA-220FDSP-5HP-QH</t>
  </si>
  <si>
    <t>Official Fhoton SolarPAK 5-10 hp order table: 5 hp; flow class 220 US gpm (49.967 m³/h converted). Package includes solar controller, submersible motor and pump. Head and Q-H curve require product-specific curve capture.</t>
  </si>
  <si>
    <t>IN081</t>
  </si>
  <si>
    <t>275FDSP-5HP</t>
  </si>
  <si>
    <t>275FDSP-5HP solar pumping package</t>
  </si>
  <si>
    <t>FRA-275FDSP-5HP-QH</t>
  </si>
  <si>
    <t>Official Fhoton SolarPAK 5-10 hp order table: 5 hp; flow class 275 US gpm (62.459 m³/h converted). Package includes solar controller, submersible motor and pump. Head and Q-H curve require product-specific curve capture.</t>
  </si>
  <si>
    <t>IN082</t>
  </si>
  <si>
    <t>325FDSP-5HP</t>
  </si>
  <si>
    <t>325FDSP-5HP solar pumping package</t>
  </si>
  <si>
    <t>FRA-325FDSP-5HP-QH</t>
  </si>
  <si>
    <t>Official Fhoton SolarPAK 5-10 hp order table: 5 hp; flow class 325 US gpm (73.816 m³/h converted). Package includes solar controller, submersible motor and pump. Head and Q-H curve require product-specific curve capture.</t>
  </si>
  <si>
    <t>IN083</t>
  </si>
  <si>
    <t>375FDSP-5HP</t>
  </si>
  <si>
    <t>375FDSP-5HP solar pumping package</t>
  </si>
  <si>
    <t>FRA-375FDSP-5HP-QH</t>
  </si>
  <si>
    <t>Official Fhoton SolarPAK 5-10 hp order table: 5 hp; flow class 375 US gpm (85.172 m³/h converted). Package includes solar controller, submersible motor and pump. Head and Q-H curve require product-specific curve capture.</t>
  </si>
  <si>
    <t>IN084</t>
  </si>
  <si>
    <t>20FDSP-7.5HP</t>
  </si>
  <si>
    <t>20FDSP-7.5HP solar pumping package</t>
  </si>
  <si>
    <t>FRA-FHOTON-7p5HP</t>
  </si>
  <si>
    <t>FRA-20FDSP-7p5HP-QH</t>
  </si>
  <si>
    <t>Official Fhoton SolarPAK 5-10 hp order table: 7.5 hp; flow class 20 US gpm (4.542 m³/h converted). Package includes solar controller, submersible motor and pump. Head and Q-H curve require product-specific curve capture.</t>
  </si>
  <si>
    <t>IN085</t>
  </si>
  <si>
    <t>25FDSP-7.5HP</t>
  </si>
  <si>
    <t>25FDSP-7.5HP solar pumping package</t>
  </si>
  <si>
    <t>FRA-25FDSP-7p5HP-QH</t>
  </si>
  <si>
    <t>Official Fhoton SolarPAK 5-10 hp order table: 7.5 hp; flow class 25 US gpm (5.678 m³/h converted). Package includes solar controller, submersible motor and pump. Head and Q-H curve require product-specific curve capture.</t>
  </si>
  <si>
    <t>IN086</t>
  </si>
  <si>
    <t>35FDSP-7.5HP</t>
  </si>
  <si>
    <t>35FDSP-7.5HP solar pumping package</t>
  </si>
  <si>
    <t>FRA-35FDSP-7p5HP-QH</t>
  </si>
  <si>
    <t>Official Fhoton SolarPAK 5-10 hp order table: 7.5 hp; flow class 35 US gpm (7.949 m³/h converted). Package includes solar controller, submersible motor and pump. Head and Q-H curve require product-specific curve capture.</t>
  </si>
  <si>
    <t>IN087</t>
  </si>
  <si>
    <t>45FDSP-7.5HP</t>
  </si>
  <si>
    <t>45FDSP-7.5HP solar pumping package</t>
  </si>
  <si>
    <t>FRA-45FDSP-7p5HP-QH</t>
  </si>
  <si>
    <t>Official Fhoton SolarPAK 5-10 hp order table: 7.5 hp; flow class 45 US gpm (10.221 m³/h converted). Package includes solar controller, submersible motor and pump. Head and Q-H curve require product-specific curve capture.</t>
  </si>
  <si>
    <t>IN088</t>
  </si>
  <si>
    <t>60FDSP-7.5HP</t>
  </si>
  <si>
    <t>60FDSP-7.5HP solar pumping package</t>
  </si>
  <si>
    <t>FRA-60FDSP-7p5HP-QH</t>
  </si>
  <si>
    <t>Official Fhoton SolarPAK 5-10 hp order table: 7.5 hp; flow class 60 US gpm (13.627 m³/h converted). Package includes solar controller, submersible motor and pump. Head and Q-H curve require product-specific curve capture.</t>
  </si>
  <si>
    <t>IN089</t>
  </si>
  <si>
    <t>90FDSP-7.5HP</t>
  </si>
  <si>
    <t>90FDSP-7.5HP solar pumping package</t>
  </si>
  <si>
    <t>FRA-90FDSP-7p5HP-QH</t>
  </si>
  <si>
    <t>Official Fhoton SolarPAK 5-10 hp order table: 7.5 hp; flow class 90 US gpm (20.441 m³/h converted). Package includes solar controller, submersible motor and pump. Head and Q-H curve require product-specific curve capture.</t>
  </si>
  <si>
    <t>IN090</t>
  </si>
  <si>
    <t>100FDSP-7.5HP</t>
  </si>
  <si>
    <t>100FDSP-7.5HP solar pumping package</t>
  </si>
  <si>
    <t>FRA-100FDSP-7p5HP-QH</t>
  </si>
  <si>
    <t>Official Fhoton SolarPAK 5-10 hp order table: 7.5 hp; flow class 100 US gpm (22.712 m³/h converted). Package includes solar controller, submersible motor and pump. Head and Q-H curve require product-specific curve capture.</t>
  </si>
  <si>
    <t>IN091</t>
  </si>
  <si>
    <t>125FDSP-7.5HP</t>
  </si>
  <si>
    <t>125FDSP-7.5HP solar pumping package</t>
  </si>
  <si>
    <t>FRA-125FDSP-7p5HP-QH</t>
  </si>
  <si>
    <t>Official Fhoton SolarPAK 5-10 hp order table: 7.5 hp; flow class 125 US gpm (28.391 m³/h converted). Package includes solar controller, submersible motor and pump. Head and Q-H curve require product-specific curve capture.</t>
  </si>
  <si>
    <t>IN092</t>
  </si>
  <si>
    <t>150FDSP-7.5HP</t>
  </si>
  <si>
    <t>150FDSP-7.5HP solar pumping package</t>
  </si>
  <si>
    <t>FRA-150FDSP-7p5HP-QH</t>
  </si>
  <si>
    <t>Official Fhoton SolarPAK 5-10 hp order table: 7.5 hp; flow class 150 US gpm (34.069 m³/h converted). Package includes solar controller, submersible motor and pump. Head and Q-H curve require product-specific curve capture.</t>
  </si>
  <si>
    <t>IN093</t>
  </si>
  <si>
    <t>180FDSP-7.5HP</t>
  </si>
  <si>
    <t>180FDSP-7.5HP solar pumping package</t>
  </si>
  <si>
    <t>FRA-180FDSP-7p5HP-QH</t>
  </si>
  <si>
    <t>Official Fhoton SolarPAK 5-10 hp order table: 7.5 hp; flow class 180 US gpm (40.882 m³/h converted). Package includes solar controller, submersible motor and pump. Head and Q-H curve require product-specific curve capture.</t>
  </si>
  <si>
    <t>IN094</t>
  </si>
  <si>
    <t>220FDSP-7.5HP</t>
  </si>
  <si>
    <t>220FDSP-7.5HP solar pumping package</t>
  </si>
  <si>
    <t>FRA-220FDSP-7p5HP-QH</t>
  </si>
  <si>
    <t>Official Fhoton SolarPAK 5-10 hp order table: 7.5 hp; flow class 220 US gpm (49.967 m³/h converted). Package includes solar controller, submersible motor and pump. Head and Q-H curve require product-specific curve capture.</t>
  </si>
  <si>
    <t>IN095</t>
  </si>
  <si>
    <t>275FDSP-7.5HP</t>
  </si>
  <si>
    <t>275FDSP-7.5HP solar pumping package</t>
  </si>
  <si>
    <t>FRA-275FDSP-7p5HP-QH</t>
  </si>
  <si>
    <t>Official Fhoton SolarPAK 5-10 hp order table: 7.5 hp; flow class 275 US gpm (62.459 m³/h converted). Package includes solar controller, submersible motor and pump. Head and Q-H curve require product-specific curve capture.</t>
  </si>
  <si>
    <t>IN096</t>
  </si>
  <si>
    <t>325FDSP-7.5HP</t>
  </si>
  <si>
    <t>325FDSP-7.5HP solar pumping package</t>
  </si>
  <si>
    <t>FRA-325FDSP-7p5HP-QH</t>
  </si>
  <si>
    <t>Official Fhoton SolarPAK 5-10 hp order table: 7.5 hp; flow class 325 US gpm (73.816 m³/h converted). Package includes solar controller, submersible motor and pump. Head and Q-H curve require product-specific curve capture.</t>
  </si>
  <si>
    <t>IN097</t>
  </si>
  <si>
    <t>375FDSP-7.5HP</t>
  </si>
  <si>
    <t>375FDSP-7.5HP solar pumping package</t>
  </si>
  <si>
    <t>FRA-375FDSP-7p5HP-QH</t>
  </si>
  <si>
    <t>Official Fhoton SolarPAK 5-10 hp order table: 7.5 hp; flow class 375 US gpm (85.172 m³/h converted). Package includes solar controller, submersible motor and pump. Head and Q-H curve require product-specific curve capture.</t>
  </si>
  <si>
    <t>IN098</t>
  </si>
  <si>
    <t>20FDSP-10HP</t>
  </si>
  <si>
    <t>20FDSP-10HP solar pumping package</t>
  </si>
  <si>
    <t>FRA-FHOTON-10p0HP</t>
  </si>
  <si>
    <t>FRA-20FDSP-10HP-QH</t>
  </si>
  <si>
    <t>Official Fhoton SolarPAK 5-10 hp order table: 10 hp; flow class 20 US gpm (4.542 m³/h converted). Package includes solar controller, submersible motor and pump. Head and Q-H curve require product-specific curve capture.</t>
  </si>
  <si>
    <t>IN099</t>
  </si>
  <si>
    <t>25FDSP-10HP</t>
  </si>
  <si>
    <t>25FDSP-10HP solar pumping package</t>
  </si>
  <si>
    <t>FRA-25FDSP-10HP-QH</t>
  </si>
  <si>
    <t>Official Fhoton SolarPAK 5-10 hp order table: 10 hp; flow class 25 US gpm (5.678 m³/h converted). Package includes solar controller, submersible motor and pump. Head and Q-H curve require product-specific curve capture.</t>
  </si>
  <si>
    <t>IN100</t>
  </si>
  <si>
    <t>35FDSP-10HP</t>
  </si>
  <si>
    <t>35FDSP-10HP solar pumping package</t>
  </si>
  <si>
    <t>FRA-35FDSP-10HP-QH</t>
  </si>
  <si>
    <t>Official Fhoton SolarPAK 5-10 hp order table: 10 hp; flow class 35 US gpm (7.949 m³/h converted). Package includes solar controller, submersible motor and pump. Head and Q-H curve require product-specific curve capture.</t>
  </si>
  <si>
    <t>Curve_ID</t>
  </si>
  <si>
    <t>Point_No</t>
  </si>
  <si>
    <t>Flow_m3h</t>
  </si>
  <si>
    <t>Head_m</t>
  </si>
  <si>
    <t>Input_Power_kW</t>
  </si>
  <si>
    <t>Digitization_Method</t>
  </si>
  <si>
    <t>Manual digitization from catalog graph</t>
  </si>
  <si>
    <t>Internal QA passed</t>
  </si>
  <si>
    <t>Internal monotonicity and endpoint checks passed; independent source-level digitization check still recommended.</t>
  </si>
  <si>
    <t>Manual digitization from grouped catalog graph</t>
  </si>
  <si>
    <t>Redigitization required</t>
  </si>
  <si>
    <t>Pilot/manual points retained; endpoint/completeness check failed. Redigitize from official source before experiments.</t>
  </si>
  <si>
    <t>Input_DC_Min_V</t>
  </si>
  <si>
    <t>Input_DC_Max_V</t>
  </si>
  <si>
    <t>MPPT_Min_V</t>
  </si>
  <si>
    <t>MPPT_Max_V</t>
  </si>
  <si>
    <t>Voc_Max_V</t>
  </si>
  <si>
    <t>Output_Type</t>
  </si>
  <si>
    <t>Output_Voltage_V</t>
  </si>
  <si>
    <t>Max_Current_A</t>
  </si>
  <si>
    <t>Max_Power_kW</t>
  </si>
  <si>
    <t>WD solar 0.12 kW</t>
  </si>
  <si>
    <t>3-phase variable-frequency motor output</t>
  </si>
  <si>
    <t>Catalog controller family; low-voltage</t>
  </si>
  <si>
    <t>WD solar 0.21 kW</t>
  </si>
  <si>
    <t>WD solar 0.30 kW</t>
  </si>
  <si>
    <t>WD solar 0.40 kW</t>
  </si>
  <si>
    <t>WD solar 0.50 kW</t>
  </si>
  <si>
    <t>WD solar 0.60 kW</t>
  </si>
  <si>
    <t>WD solar 0.75 kW</t>
  </si>
  <si>
    <t>WD solar 1.10 kW</t>
  </si>
  <si>
    <t>WD solar 1.30 kW</t>
  </si>
  <si>
    <t>WD solar 1.50 kW</t>
  </si>
  <si>
    <t>WD solar 0.28 kW</t>
  </si>
  <si>
    <t>Surface-pump low-voltage controller</t>
  </si>
  <si>
    <t>WD solar 0.55 kW</t>
  </si>
  <si>
    <t>Built-in 0.10 kW</t>
  </si>
  <si>
    <t>Integrated motor drive</t>
  </si>
  <si>
    <t>Built-in drive; catalog lists PV limits</t>
  </si>
  <si>
    <t>Built-in 0.20 kW</t>
  </si>
  <si>
    <t>Built-in 0.27 kW</t>
  </si>
  <si>
    <t>BSQB built-in drive</t>
  </si>
  <si>
    <t>Built-in 0.30 kW</t>
  </si>
  <si>
    <t>Built-in 0.50 kW</t>
  </si>
  <si>
    <t>Built-in 0.54 kW</t>
  </si>
  <si>
    <t>Built-in 0.55 kW</t>
  </si>
  <si>
    <t>Built-in drive</t>
  </si>
  <si>
    <t>Built-in 0.57 kW</t>
  </si>
  <si>
    <t>BSJ built-in drive</t>
  </si>
  <si>
    <t>Built-in 0.60 kW</t>
  </si>
  <si>
    <t>BSCPM built-in drive</t>
  </si>
  <si>
    <t>Built-in 0.75 kW</t>
  </si>
  <si>
    <t>BSCPM/SCPM built-in drive</t>
  </si>
  <si>
    <t>Built-in 1.10 kW</t>
  </si>
  <si>
    <t>SCPM built-in drive</t>
  </si>
  <si>
    <t>WHD solar 1.50 kW</t>
  </si>
  <si>
    <t>High-voltage controller</t>
  </si>
  <si>
    <t>WHD solar 2.20 kW</t>
  </si>
  <si>
    <t>WHD solar 3.00 kW</t>
  </si>
  <si>
    <t>AC/DC 0.75 kW</t>
  </si>
  <si>
    <t>AC/DC variable-frequency motor output</t>
  </si>
  <si>
    <t>AC input range 80–280 V</t>
  </si>
  <si>
    <t>AC/DC 1.10 kW</t>
  </si>
  <si>
    <t>AC/DC 1.50 kW</t>
  </si>
  <si>
    <t>AC/DC 2.20 kW</t>
  </si>
  <si>
    <t>AC/DC 3.00 kW</t>
  </si>
  <si>
    <t>PS2-150 controller family</t>
  </si>
  <si>
    <t>ECDrive BLDC motor output</t>
  </si>
  <si>
    <t>Nominal motor voltage 12–24 V; Vmp &gt;17 V; battery operation 12/24 V.</t>
  </si>
  <si>
    <t>PS2-200 HR controller family</t>
  </si>
  <si>
    <t>Nominal motor voltage 24–48 V; Vmp &gt;34 V; battery operation 24/48 V.</t>
  </si>
  <si>
    <t>PS2-600 submersible controller family</t>
  </si>
  <si>
    <t>Nominal motor voltage 48–72 V; Vmp &gt;68 V; battery operation 48 V.</t>
  </si>
  <si>
    <t>PS2-600 surface controller family</t>
  </si>
  <si>
    <t>Nominal motor voltage 24–48 V; Vmp &gt;68 V; battery operation 48 V.</t>
  </si>
  <si>
    <t>PS2-1800 controller family</t>
  </si>
  <si>
    <t>Nominal motor voltage 72–96 V; Vmp &gt;102 V; battery operation 96 V.</t>
  </si>
  <si>
    <t>PS2-4000 controller family</t>
  </si>
  <si>
    <t>Nominal motor voltage 168–192 V; Vmp &gt;238 V; battery operation not specified.</t>
  </si>
  <si>
    <t>Solar MPPT controller 24 V / 500 W</t>
  </si>
  <si>
    <t>BLDC motor controller output</t>
  </si>
  <si>
    <t>Best DC voltage 60–90 V; recommended PV Voc &lt;55 V; PV array ≥450 W.</t>
  </si>
  <si>
    <t>Solar MPPT controller 48 V / 400 W</t>
  </si>
  <si>
    <t>Best DC voltage 60–90 V; recommended PV Voc &lt;100 V; PV array ≥600 W.</t>
  </si>
  <si>
    <t>Solar MPPT controller 48 V / 600 W</t>
  </si>
  <si>
    <t>Best DC voltage 60–90 V; recommended PV Voc &lt;100 V; PV array ≥1000 W.</t>
  </si>
  <si>
    <t>Solar MPPT controller 48 V / 750 W</t>
  </si>
  <si>
    <t>Solar MPPT controller 72 V / 750 W</t>
  </si>
  <si>
    <t>Best DC voltage 70–120 V; recommended PV Voc &lt;180 V; PV array ≥1000 W.</t>
  </si>
  <si>
    <t>Solar MPPT controller 72 V / 1100 W</t>
  </si>
  <si>
    <t>Best DC voltage 70–120 V; recommended PV Voc &lt;180 V; PV array ≥1600 W.</t>
  </si>
  <si>
    <t>Solar MPPT controller 110 V / 1100 W</t>
  </si>
  <si>
    <t>Best DC voltage 90–160 V; recommended PV Voc &lt;220 V; PV array ≥1600 W.</t>
  </si>
  <si>
    <t>Solar MPPT controller 110 V / 1300 W</t>
  </si>
  <si>
    <t>Best DC voltage 90–160 V; recommended PV Voc &lt;220 V; PV array ≥2000 W.</t>
  </si>
  <si>
    <t>Solar MPPT controller 110 V / 1500 W</t>
  </si>
  <si>
    <t>Best DC voltage 90–160 V; recommended PV Voc &lt;220 V; PV array ≥2200 W.</t>
  </si>
  <si>
    <t>Solar MPPT controller 220 V / 2200 W</t>
  </si>
  <si>
    <t>Best DC voltage 220–430 V; recommended PV Voc &lt;450 V; PV array ≥3300 W.</t>
  </si>
  <si>
    <t>SSCO_YDC24</t>
  </si>
  <si>
    <t>Best working voltage 30 VDC; undervoltage threshold 18 VDC; overload 20 A; over-current 25 A; adaptive panel Vmp 29.8 V, Voc 36.9 V; 220×200×90 mm, 2.10 kg, ambient -20…+50 °C.</t>
  </si>
  <si>
    <t>SSCO_YDC48</t>
  </si>
  <si>
    <t>Best working voltage 60 VDC; undervoltage threshold 30 VDC; overload 20 A; over-current 25 A; adaptive panel Vmp 29.8 V, Voc 36.9 V; 220×200×90 mm, 2.10 kg, ambient -20…+50 °C.</t>
  </si>
  <si>
    <t>SSCO_YDC72</t>
  </si>
  <si>
    <t>Best working voltage 90 VDC; undervoltage threshold 50 VDC; overload 20 A; over-current 25 A; adaptive panel Vmp 35.6 V, Voc 43.5 V; 220×200×90 mm, 2.10 kg, ambient -20…+50 °C.</t>
  </si>
  <si>
    <t>SSCO_YDC96</t>
  </si>
  <si>
    <t>Best working voltage 110 VDC; undervoltage threshold 60 VDC; overload 20 A; over-current 25 A; adaptive panel Vmp 35.6 V, Voc 43.5 V; 220×200×90 mm, 2.10 kg, ambient -20…+50 °C.</t>
  </si>
  <si>
    <t>SSCO_YDC11</t>
  </si>
  <si>
    <t>Best working voltage 120 VDC; undervoltage threshold 70 VDC; overload 20 A; over-current 25 A; adaptive panel Vmp 35.6 V, Voc 43.5 V; 220×200×90 mm, 2.10 kg, ambient -20…+50 °C.</t>
  </si>
  <si>
    <t>SSCO_YDC15</t>
  </si>
  <si>
    <t>Best working voltage 150 VDC; undervoltage threshold 120 VDC; overload 15 A; over-current 20 A; adaptive panel Vmp 35.6 V, Voc 43.5 V; 220×200×90 mm, 2.10 kg, ambient -20…+50 °C.</t>
  </si>
  <si>
    <t>ZRI-SSCO-YDC20</t>
  </si>
  <si>
    <t>SSCO_YDC20</t>
  </si>
  <si>
    <t>Best working voltage 200 VDC; undervoltage threshold 160 VDC; overload 15 A; over-current 20 A; adaptive panel Vmp 35.6 V, Voc 43.5 V; 220×200×90 mm, 2.10 kg, ambient -20…+50 °C.</t>
  </si>
  <si>
    <t>ZRI-SSCO-YDC30</t>
  </si>
  <si>
    <t>SSCO_YDC30</t>
  </si>
  <si>
    <t>Best working voltage 300 VDC; undervoltage threshold 220 VDC; overload 15 A; over-current 20 A; adaptive panel Vmp 35.6 V, Voc 43.5 V; 220×200×90 mm, 2.10 kg, ambient -20…+50 °C.</t>
  </si>
  <si>
    <t>SQFlex integrated inverter - standard/high-speed small/medium</t>
  </si>
  <si>
    <t>Integrated AC/DC inverter to PM/BLDC motor</t>
  </si>
  <si>
    <t>Brochure range 30-300 VDC and 90-240 VAC; max current 12 A. Exact model wattage varies.</t>
  </si>
  <si>
    <t>SQFlex high-speed 2500 W integrated inverter</t>
  </si>
  <si>
    <t>For SQF 3-105, SQF 5-70 and SQF 7-55: 2500 W, 100-300 VDC, 90-240 VAC, 12 A.</t>
  </si>
  <si>
    <t>Fhoton Solar controller - 0.5 hp package</t>
  </si>
  <si>
    <t>Solar pump controller output</t>
  </si>
  <si>
    <t>Package-level controller; detailed electrical limits not exposed on order table.</t>
  </si>
  <si>
    <t>Fhoton Solar controller - 0.75 hp package</t>
  </si>
  <si>
    <t>Fhoton Solar controller - 1.5 hp package</t>
  </si>
  <si>
    <t>Fhoton Solar controller - 5 hp package</t>
  </si>
  <si>
    <t>Fhoton Solar controller - 7.5 hp package</t>
  </si>
  <si>
    <t>Fhoton Solar controller - 10 hp package</t>
  </si>
  <si>
    <t>PSk2-7 controller/system class</t>
  </si>
  <si>
    <t>0-60 Hz motor speed control</t>
  </si>
  <si>
    <t>Official PSk2 brochure: solar Voc max 850 VDC; 0-60 Hz motor speed control; SmartSolution can blend solar with grid/generator. Detailed controller power/voltage data not entered from this one-page brochure.</t>
  </si>
  <si>
    <t>PSk2-9 controller/system class</t>
  </si>
  <si>
    <t>PSk2-15 controller/system class</t>
  </si>
  <si>
    <t>PSk2-21 controller/system class</t>
  </si>
  <si>
    <t>PSk2-25 controller/system class</t>
  </si>
  <si>
    <t>PSk2-40 controller/system class</t>
  </si>
  <si>
    <t>Wilo-EFC frequency converter for Atmos GIGA-N</t>
  </si>
  <si>
    <t>Variable-frequency AC motor control</t>
  </si>
  <si>
    <t>Wilo states Atmos GIGA-N speed is controlled by Wilo-EFC. Standard pump motor supply is 3~400 V, 50 Hz. PV DC front-end/inverter stage is not specified in the pump-family page.</t>
  </si>
  <si>
    <t>TDS Hybrid AC/DC solar pumping panel</t>
  </si>
  <si>
    <t>Hybrid AC/DC drive for large irrigation pump</t>
  </si>
  <si>
    <t>Official SAER solar project: 200 kW pump; 240 kWp solar array per pump; hybrid grid/generator capability.</t>
  </si>
  <si>
    <t>Source_Type</t>
  </si>
  <si>
    <t>Document_or_Page_Title</t>
  </si>
  <si>
    <t>Official_URL_or_File</t>
  </si>
  <si>
    <t>Publication_or_Catalog_Year</t>
  </si>
  <si>
    <t>Access_Date</t>
  </si>
  <si>
    <t>Page_or_Model_URL</t>
  </si>
  <si>
    <t>Official_Source</t>
  </si>
  <si>
    <t>Official catalog</t>
  </si>
  <si>
    <t>DC Low Voltage solar pump catalog</t>
  </si>
  <si>
    <t>User-uploaded PDF</t>
  </si>
  <si>
    <t>2025–2026</t>
  </si>
  <si>
    <t>All pages</t>
  </si>
  <si>
    <t>Use page number for each extracted model</t>
  </si>
  <si>
    <t>DC High Voltage solar pump catalog</t>
  </si>
  <si>
    <t>DC solar surface pump catalog</t>
  </si>
  <si>
    <t>SRC004</t>
  </si>
  <si>
    <t>Official product page</t>
  </si>
  <si>
    <t>PS2 Solar Water Pumping System</t>
  </si>
  <si>
    <t>https://www.lorentz.de/products-and-technology/products/ps2-solar-pumping-systems/</t>
  </si>
  <si>
    <t>Current</t>
  </si>
  <si>
    <t>Product family</t>
  </si>
  <si>
    <t>Model-level datasheets still required</t>
  </si>
  <si>
    <t>SRC005</t>
  </si>
  <si>
    <t>PSk Solar Water Pumping System</t>
  </si>
  <si>
    <t>https://www.lorentz.de/products-and-technology/products/psk-solar-pumping-systems/</t>
  </si>
  <si>
    <t>Industrial segment</t>
  </si>
  <si>
    <t>SRC006</t>
  </si>
  <si>
    <t>Official product selector</t>
  </si>
  <si>
    <t>https://product-selection.grundfos.com/products/sqflex</t>
  </si>
  <si>
    <t>Models tab</t>
  </si>
  <si>
    <t>Capture model URL and curve</t>
  </si>
  <si>
    <t>SRC007</t>
  </si>
  <si>
    <t>https://www.franklinwater.com/products/drives-starters-and-protection/drive-packages/fhoton-solarpak-solar-powered-pumping-package/</t>
  </si>
  <si>
    <t>Capture SKU-level pages</t>
  </si>
  <si>
    <t>SRC008</t>
  </si>
  <si>
    <t>Fhoton Surface SolarPAK</t>
  </si>
  <si>
    <t>https://www.franklinwater.com/products/drives-starters-and-protection/drive-packages/fhoton-surface-solarpak-solar-powered-pumping-package/</t>
  </si>
  <si>
    <t>Farm/SME</t>
  </si>
  <si>
    <t>SRC009</t>
  </si>
  <si>
    <t>SAER company/product catalog</t>
  </si>
  <si>
    <t>Unknown</t>
  </si>
  <si>
    <t>Solar pump section</t>
  </si>
  <si>
    <t>Need model-specific technical catalogs</t>
  </si>
  <si>
    <t>SRC010</t>
  </si>
  <si>
    <t>AC/DC solar pump catalog</t>
  </si>
  <si>
    <t>For medium and high-power AC/DC configurations</t>
  </si>
  <si>
    <t>Official brochure</t>
  </si>
  <si>
    <t>PS2 centrifugal solar pump systems</t>
  </si>
  <si>
    <t>Model family and electrical limits</t>
  </si>
  <si>
    <t>PS2 helical rotor solar pump systems</t>
  </si>
  <si>
    <t>SRC013</t>
  </si>
  <si>
    <t>PSk solar hybrid water pumping systems</t>
  </si>
  <si>
    <t>Industrial 5–100 kW segment</t>
  </si>
  <si>
    <t>PS2 Surface Solar Pump Systems</t>
  </si>
  <si>
    <t>User-uploaded PDF: lorentz_ps_surface_general_en(3).pdf</t>
  </si>
  <si>
    <t>Page 1</t>
  </si>
  <si>
    <t>Four surface system families and electrical limits.</t>
  </si>
  <si>
    <t>SRC015</t>
  </si>
  <si>
    <t>PS Solar Pump System / DPS brochure</t>
  </si>
  <si>
    <t>User-uploaded PDF: Lorentz_DPS-compressed(3).pdf</t>
  </si>
  <si>
    <t>Legacy/undated</t>
  </si>
  <si>
    <t>Pages 2–4</t>
  </si>
  <si>
    <t>Partly</t>
  </si>
  <si>
    <t>Distributor brochure; use mainly for controller and legacy PS family context.</t>
  </si>
  <si>
    <t>SRC016</t>
  </si>
  <si>
    <t>PS2 Centrifugal and Helical Rotor brochures</t>
  </si>
  <si>
    <t>User-uploaded PDFs: lorentz_ps_c_general_en(3).pdf; lorentz_ps_hr_general_en(3).pdf</t>
  </si>
  <si>
    <t>Submersible PS2 family data.</t>
  </si>
  <si>
    <t>CHIMP / Zhejiang Qiantao Pumps</t>
  </si>
  <si>
    <t>QIANTAO PUMP 50Hz/Solar — Electric Deep Well Pump &amp; Solar Pump</t>
  </si>
  <si>
    <t>User-uploaded PDF: CHIMP deep well pump 50hz.pdf</t>
  </si>
  <si>
    <t>Catalog pages 99–102 (PDF pages 54–55)</t>
  </si>
  <si>
    <t>Used for 3DCS and 3DCSS solar deep-well pump performance tables and Q–H references.</t>
  </si>
  <si>
    <t>SRC018</t>
  </si>
  <si>
    <t>CHIMP / China Qiantao Pumps</t>
  </si>
  <si>
    <t>2023 Surface and Submersible Pump Catalog</t>
  </si>
  <si>
    <t>User-uploaded PDF: Chimp surface and submersible pump catalog(OCR).pdf</t>
  </si>
  <si>
    <t>2023</t>
  </si>
  <si>
    <t>Reserved for AC surface/submersible and PV-VFD comparison configurations.</t>
  </si>
  <si>
    <t>2026 SSCO DC Solar Pump Product Catalog</t>
  </si>
  <si>
    <t>User-uploaded PDF: zri-2026-ssco-dc-solar-pump.pdf</t>
  </si>
  <si>
    <t>2026</t>
  </si>
  <si>
    <t>Pages S01–S05 (PDF pages 7–11)</t>
  </si>
  <si>
    <t>Controller specifications and S3SS/S4SS/S3HS/S4HS solar submersible pump performance data.</t>
  </si>
  <si>
    <t>COM PUMP / Taizhou COM Pump Co., Ltd.</t>
  </si>
  <si>
    <t>COM PUMP 50 Hz Product Catalog</t>
  </si>
  <si>
    <t>User-uploaded PDF: d43beb92-17cf-4e3e-ac5e-59a4dafa831a.pdf</t>
  </si>
  <si>
    <t>Current/undated</t>
  </si>
  <si>
    <t>TD/CTD pages 15-30; technical tables pages 18-21</t>
  </si>
  <si>
    <t>Industrial AC inline circulation centrifugal pumps; used as PV-VFD-AC configurations in the master dataset.</t>
  </si>
  <si>
    <t>Extended SQFlex solar powered submersible pump range</t>
  </si>
  <si>
    <t>https://product-selection.grundfos.com/content/dam/global/activity-assets/isolutions-wu/documents-and-cases/brochures/WU-SQFlex-flyers_Farm.pdf</t>
  </si>
  <si>
    <t>Performance curves and high-speed technical table</t>
  </si>
  <si>
    <t>Used for 14 SQFlex models; brochure states AC/DC integrated inverter, 30-300 VDC / 90-240 VAC range, with 100-300 VDC for three 2.5 kW high-speed models.</t>
  </si>
  <si>
    <t>Fhoton SolarPAK Solar-Powered Pumping Package</t>
  </si>
  <si>
    <t>Order Information tables</t>
  </si>
  <si>
    <t>Used for low-power household and 5-10 hp industrial solar package rows.</t>
  </si>
  <si>
    <t>SRC023</t>
  </si>
  <si>
    <t>SubDrive SolarPAK Solar-Powered Pumping Package</t>
  </si>
  <si>
    <t>https://www.franklinwater.com/products/drives-starters-and-protection/drive-packages/subdrive-solarpak-solar-powered-pumping-package/</t>
  </si>
  <si>
    <t>Order Information table</t>
  </si>
  <si>
    <t>Researched for medium-power solar packages; not used in final 300-row population after segment balancing.</t>
  </si>
  <si>
    <t>PSk2 Centrifugal Solar Pump Systems - Submersible</t>
  </si>
  <si>
    <t>https://partnernet.lorentz.de/pdf/lorentz_psk2_submersible_en-en.pdf</t>
  </si>
  <si>
    <t>2017</t>
  </si>
  <si>
    <t>System-class performance table</t>
  </si>
  <si>
    <t>Six PSk2 submersible system classes; exact pump-end model remains to be selected later.</t>
  </si>
  <si>
    <t>PSk2 Surface Solar Pump Systems</t>
  </si>
  <si>
    <t>https://partnernet.lorentz.de/pdf/lorentz_psk2_surface_en-en.pdf</t>
  </si>
  <si>
    <t>Six PSk2 surface system classes; exact pump-end model remains to be selected later.</t>
  </si>
  <si>
    <t>Official product family page</t>
  </si>
  <si>
    <t>Atmos GIGA-N product selection</t>
  </si>
  <si>
    <t>https://wilo.com/tw/en/Products-and-expertise/en/products/atmos-giga-n_id272</t>
  </si>
  <si>
    <t>Product selection table</t>
  </si>
  <si>
    <t>Used for 17 model-level Atmos GIGA-N variants and official power/DN/article data.</t>
  </si>
  <si>
    <t>Official SKU page</t>
  </si>
  <si>
    <t>https://wilo.com/oem/en/Products/en/products-expertise/wilo-atmos-giga-n/atmos-giga-n-40-200-11-2</t>
  </si>
  <si>
    <t>Article 6086537</t>
  </si>
  <si>
    <t>11 kW, DN65/DN40, 3~400 V 50 Hz.</t>
  </si>
  <si>
    <t>https://wilo.com/oem/en/Products/en/products-expertise/wilo-atmos-giga-n/atmos-giga-n-65-125-11-2-p5?t=1</t>
  </si>
  <si>
    <t>Article 6086744</t>
  </si>
  <si>
    <t>11 kW, DN80/DN65, 3~400 V 50 Hz.</t>
  </si>
  <si>
    <t>https://wilo.com/oem/en/Products/en/products-expertise/wilo-atmos-giga-n/atmos-giga-n-50-250-22-2</t>
  </si>
  <si>
    <t>Article 6086490</t>
  </si>
  <si>
    <t>22 kW, DN65/DN50, 3~400 V 50 Hz.</t>
  </si>
  <si>
    <t>https://wilo.com/oem/en/Products/en/products-expertise/wilo-atmos-giga-n/atmos-giga-n-65-250-30-2</t>
  </si>
  <si>
    <t>Article 6086469</t>
  </si>
  <si>
    <t>30 kW, DN80/DN65, 3~400 V 50 Hz.</t>
  </si>
  <si>
    <t>https://wilo.com/ar/en/Products-and-expertise/en/products-expertise/wilo-atmos-giga-n/atmos-giga-n-80-250-45-2-p5</t>
  </si>
  <si>
    <t>Article 6086853</t>
  </si>
  <si>
    <t>45 kW, DN100/DN80, 3~400 V 50 Hz.</t>
  </si>
  <si>
    <t>https://wilo.com/oem/en/Products/en/products-expertise/wilo-atmos-giga-n/atmos-giga-n-100-250-55-2</t>
  </si>
  <si>
    <t>Article 6086227</t>
  </si>
  <si>
    <t>55 kW model.</t>
  </si>
  <si>
    <t>https://wilo.com/oem/en/Products/en/products-expertise/wilo-atmos-giga-n/atmos-giga-n-100-250-75-2-ie4</t>
  </si>
  <si>
    <t>Article 6096281</t>
  </si>
  <si>
    <t>75 kW, IE4, DN125/DN100, 3~400 V 50 Hz.</t>
  </si>
  <si>
    <t>https://wilo.com/oem/en/Products/en/application/heating/heating/stations-substations-heating/wilo-atmos-giga-n/atmos-giga-n-125-250-90-2-ie4</t>
  </si>
  <si>
    <t>Article 6096230</t>
  </si>
  <si>
    <t>90 kW, IE4, DN150/DN125, 3~400 V 50 Hz.</t>
  </si>
  <si>
    <t>Official project page</t>
  </si>
  <si>
    <t>Irrigation project with solar panels - Central Asia</t>
  </si>
  <si>
    <t>https://www.saerelettropompe.com/en/projects/irrigation-project-with-solar-panels-28.html</t>
  </si>
  <si>
    <t>Solar PV project with TDS Hybrid AC/DC system; Q=1332 m³/h, H=40 m.</t>
  </si>
  <si>
    <t>Project in Vietnam</t>
  </si>
  <si>
    <t>https://www.saerelettropompe.com/en/projects/project-in-vietnam-27.html</t>
  </si>
  <si>
    <t>200 kW, 4-pole, 50 Hz, 400 V split-case pump.</t>
  </si>
  <si>
    <t>Vertical configuration for an agricultural consortium</t>
  </si>
  <si>
    <t>https://www.saerelettropompe.com/en/projects/vertical-configuration-for-an-agricultural-consortium-20.html</t>
  </si>
  <si>
    <t>SKDVZ 4P 150-400; SKDV 250-450</t>
  </si>
  <si>
    <t>Two pump configurations; both official duty point Q=80 l/s, H=50 m.</t>
  </si>
  <si>
    <t>Pumps for water distribution, civil system, Iraq</t>
  </si>
  <si>
    <t>https://www.saerelettropompe.com/en/projects/pumps-for-water-distribution-civil-system-09.html</t>
  </si>
  <si>
    <t>NCBZ 4P 80-400 A 45 kW</t>
  </si>
  <si>
    <t>Official duty point Q=100 m³/h, H=60 m.</t>
  </si>
  <si>
    <t>Split-case pumps for water distribution</t>
  </si>
  <si>
    <t>https://www.saerelettropompe.com/es/proyectos/bombas-de-c%C3%A1mara-partida-para-distribuci%C3%B3n-de-agua.html</t>
  </si>
  <si>
    <t>SKDZ 4P 200-630 400 kW</t>
  </si>
  <si>
    <t>Official project duty point Q=807 m³/h, H=115 m.</t>
  </si>
  <si>
    <t>Segment</t>
  </si>
  <si>
    <t>Priority</t>
  </si>
  <si>
    <t>Product line / family</t>
  </si>
  <si>
    <t>Target_count</t>
  </si>
  <si>
    <t>Electrical scope</t>
  </si>
  <si>
    <t>Evidence status</t>
  </si>
  <si>
    <t>Why include</t>
  </si>
  <si>
    <t>Official source URL</t>
  </si>
  <si>
    <t>Collection status</t>
  </si>
  <si>
    <t>Low Voltage + Surface solar pumps</t>
  </si>
  <si>
    <t>Direct DC / DC controller</t>
  </si>
  <si>
    <t>Uploaded official catalogs</t>
  </si>
  <si>
    <t>Wide low-power range; Q-H curves and controller data available</t>
  </si>
  <si>
    <t>User-uploaded manufacturer catalogs</t>
  </si>
  <si>
    <t>AC/DC integrated</t>
  </si>
  <si>
    <t>Official brochure + product center</t>
  </si>
  <si>
    <t>14 model rows added; 3 high-speed models placed in Farm/SME</t>
  </si>
  <si>
    <t>Collected</t>
  </si>
  <si>
    <t>S range, PS2-100, low-power PS2</t>
  </si>
  <si>
    <t>Direct solar / DC brushless</t>
  </si>
  <si>
    <t>Confirmed official</t>
  </si>
  <si>
    <t>Self-install and small-system solar pumping</t>
  </si>
  <si>
    <t>https://www.lorentz.de/products-and-technology/</t>
  </si>
  <si>
    <t>Planned</t>
  </si>
  <si>
    <t>Solar controller package</t>
  </si>
  <si>
    <t>16 low-power package rows added</t>
  </si>
  <si>
    <t>Solar variants of submersible series</t>
  </si>
  <si>
    <t>Solar-fed / controller</t>
  </si>
  <si>
    <t>Uploaded official catalog; model detail required</t>
  </si>
  <si>
    <t>Adds European manufacturer and small solar variants</t>
  </si>
  <si>
    <t>User-uploaded SAER catalog</t>
  </si>
  <si>
    <t>PS2 centrifugal, HR and surface</t>
  </si>
  <si>
    <t>100 W–4 kW; broad head/flow coverage</t>
  </si>
  <si>
    <t>High Voltage + Low Voltage submersible</t>
  </si>
  <si>
    <t>DC controller</t>
  </si>
  <si>
    <t>Broad agricultural configurations and Q-H plots</t>
  </si>
  <si>
    <t>Fhoton/SubDrive SolarPAK</t>
  </si>
  <si>
    <t>Solar VFD/package</t>
  </si>
  <si>
    <t>Official product pages</t>
  </si>
  <si>
    <t>Researched; final 3 Farm slots filled by Grundfos high-speed SQFlex instead</t>
  </si>
  <si>
    <t>https://www.franklinwater.com/products/drives-starters-and-protection/drive-packages/</t>
  </si>
  <si>
    <t>Researched</t>
  </si>
  <si>
    <t>SQFlex high-speed</t>
  </si>
  <si>
    <t>3 x 2.5 kW high-speed rows added</t>
  </si>
  <si>
    <t>Submersible/irrigation pumps with solar-compatible control</t>
  </si>
  <si>
    <t>PV-VFD / solar variant</t>
  </si>
  <si>
    <t>Candidate; verify model-level documents</t>
  </si>
  <si>
    <t>Expands medium-power irrigation range</t>
  </si>
  <si>
    <t>https://www.saerelettropompe.com/</t>
  </si>
  <si>
    <t>PSk2 submersible + surface</t>
  </si>
  <si>
    <t>Solar/hybrid controller</t>
  </si>
  <si>
    <t>Official PSk2 brochures</t>
  </si>
  <si>
    <t>12 system-class rows added (6 submersible + 6 surface)</t>
  </si>
  <si>
    <t>Fhoton SolarPAK 5-10 hp</t>
  </si>
  <si>
    <t>32 model rows added from 5 hp, 7.5 hp and 10 hp order tables</t>
  </si>
  <si>
    <t>Industrial pump + solar/VFD configuration</t>
  </si>
  <si>
    <t>PV-VFD AC / hybrid</t>
  </si>
  <si>
    <t>Candidate; architecture verification required</t>
  </si>
  <si>
    <t>Large pump portfolio; must document drive and PV integration separately</t>
  </si>
  <si>
    <t>https://www.grundfos.com/</t>
  </si>
  <si>
    <t>SKD/NCB project configurations</t>
  </si>
  <si>
    <t>PV hybrid / PV-VFD AC</t>
  </si>
  <si>
    <t>Official SAER project pages</t>
  </si>
  <si>
    <t>6 large-pump case-study configurations added, including 45-400 kW examples</t>
  </si>
  <si>
    <t>Atmos GIGA-N + Wilo-EFC</t>
  </si>
  <si>
    <t>PV-VFD AC integration</t>
  </si>
  <si>
    <t>Official Wilo family/SKU pages</t>
  </si>
  <si>
    <t>25 model-level rows added; powers 1.1-90 kW</t>
  </si>
  <si>
    <t>https://wilo.com/oem/en/Products/en/products-expertise/wilo-atmos-giga-n</t>
  </si>
  <si>
    <t>Sheet</t>
  </si>
  <si>
    <t>Field</t>
  </si>
  <si>
    <t>Required</t>
  </si>
  <si>
    <t>Type</t>
  </si>
  <si>
    <t>Unit / values</t>
  </si>
  <si>
    <t>Definition / collection rule</t>
  </si>
  <si>
    <t>Pump_Aggregates</t>
  </si>
  <si>
    <t>Text</t>
  </si>
  <si>
    <t>HH001–HH100; FM001–FM100; IN001–IN100</t>
  </si>
  <si>
    <t>Unique immutable key.</t>
  </si>
  <si>
    <t>Category</t>
  </si>
  <si>
    <t>Household; Farm_SME; Industrial</t>
  </si>
  <si>
    <t>Application class, not only power class.</t>
  </si>
  <si>
    <t>Use official spelling.</t>
  </si>
  <si>
    <t>Example: SQFlex, PS2, PSk2, Fhoton SolarPAK.</t>
  </si>
  <si>
    <t>Recommended</t>
  </si>
  <si>
    <t>Manufacturer series or pump-end family.</t>
  </si>
  <si>
    <t>Exact catalog model/SKU.</t>
  </si>
  <si>
    <t>Full pump + motor + controller/drive configuration.</t>
  </si>
  <si>
    <t>Submersible; Surface; Booster; End_suction; Split_case; Vertical_turbine; Multistage</t>
  </si>
  <si>
    <t>Physical pump category.</t>
  </si>
  <si>
    <t>Borehole; Surface; Inline; Stationary; Mobile</t>
  </si>
  <si>
    <t>Installation arrangement.</t>
  </si>
  <si>
    <t>Helical rotor; Centrifugal; Peripheral; Jet; Mixed_flow; Axial; Positive_displacement</t>
  </si>
  <si>
    <t>Hydraulic working principle.</t>
  </si>
  <si>
    <t>Direct_DC; DC_Controller; AC_DC_Integrated; PV_VFD_AC; DC_Bus_Inverter</t>
  </si>
  <si>
    <t>Critical for comparing household, farm and industrial systems.</t>
  </si>
  <si>
    <t>BLDC; PMSM; AC induction; Synchronous; Other</t>
  </si>
  <si>
    <t>Motor technology.</t>
  </si>
  <si>
    <t>Number</t>
  </si>
  <si>
    <t>kW</t>
  </si>
  <si>
    <t>Rated motor/system power.</t>
  </si>
  <si>
    <t>m³/h</t>
  </si>
  <si>
    <t>Maximum catalog flow; do not confuse with rated flow.</t>
  </si>
  <si>
    <t>m</t>
  </si>
  <si>
    <t>Maximum catalog head.</t>
  </si>
  <si>
    <t>Rated or selected operating point if provided.</t>
  </si>
  <si>
    <t>Head at rated operating point.</t>
  </si>
  <si>
    <t>Optional</t>
  </si>
  <si>
    <t>%</t>
  </si>
  <si>
    <t>Only use manufacturer value or verified curve-derived value.</t>
  </si>
  <si>
    <t>Required for controlled systems</t>
  </si>
  <si>
    <t>Foreign key to Electrical_Drives.</t>
  </si>
  <si>
    <t>Foreign key to Hydraulic_Curves.</t>
  </si>
  <si>
    <t>Boolean</t>
  </si>
  <si>
    <t>Yes/No</t>
  </si>
  <si>
    <t>Based on manufacturer/system design evidence.</t>
  </si>
  <si>
    <t>Do not assume; source required.</t>
  </si>
  <si>
    <t>Whether model may be selected as reserve unit.</t>
  </si>
  <si>
    <t>USD</t>
  </si>
  <si>
    <t>Keep date/market in Notes or separate price table if used.</t>
  </si>
  <si>
    <t>Foreign key to Sources.</t>
  </si>
  <si>
    <t>Planned; In progress; Verified; Rejected</t>
  </si>
  <si>
    <t>Only Verified rows may enter final experiments.</t>
  </si>
  <si>
    <t>Hydraulic_Curves</t>
  </si>
  <si>
    <t>One curve identifier per configuration.</t>
  </si>
  <si>
    <t>Integer</t>
  </si>
  <si>
    <t>Ascending sequence after sorting by flow.</t>
  </si>
  <si>
    <t>Digitized or tabulated Q value.</t>
  </si>
  <si>
    <t>Corresponding H value.</t>
  </si>
  <si>
    <t>Table; Manufacturer export; Manual graph digitization</t>
  </si>
  <si>
    <t>Document how curve points were obtained.</t>
  </si>
  <si>
    <t>Electrical_Drives</t>
  </si>
  <si>
    <t>Unique drive/controller key.</t>
  </si>
  <si>
    <t>V</t>
  </si>
  <si>
    <t>Minimum permitted DC input.</t>
  </si>
  <si>
    <t>Maximum operating DC input.</t>
  </si>
  <si>
    <t>Minimum MPPT voltage.</t>
  </si>
  <si>
    <t>Maximum MPPT voltage.</t>
  </si>
  <si>
    <t>Maximum allowable PV open-circuit voltage.</t>
  </si>
  <si>
    <t>Yes_No</t>
  </si>
  <si>
    <t>PMSM</t>
  </si>
  <si>
    <t>Verified</t>
  </si>
  <si>
    <t>Official datasheet</t>
  </si>
  <si>
    <t>Synchronous</t>
  </si>
  <si>
    <t>Rejected</t>
  </si>
  <si>
    <t>Product selector</t>
  </si>
  <si>
    <t>Mixed_flow</t>
  </si>
  <si>
    <t>DC_Bus_Inverter</t>
  </si>
  <si>
    <t>Official manual</t>
  </si>
  <si>
    <t>Vertical_turbine</t>
  </si>
  <si>
    <t>Axial</t>
  </si>
  <si>
    <t>Multistage</t>
  </si>
  <si>
    <t>Digitization pending</t>
  </si>
  <si>
    <t>DATASET PROGRESS DASHBOARD</t>
  </si>
  <si>
    <t>Planned rows</t>
  </si>
  <si>
    <t>Completion %</t>
  </si>
  <si>
    <t>Populated</t>
  </si>
  <si>
    <t>Population %</t>
  </si>
  <si>
    <t>TOTAL</t>
  </si>
  <si>
    <t>Quality indicator</t>
  </si>
  <si>
    <t>Value</t>
  </si>
  <si>
    <t>Rows in progress</t>
  </si>
  <si>
    <t>Official sources registered</t>
  </si>
  <si>
    <t>Population Frozen</t>
  </si>
  <si>
    <t>Numeric Q-H Pump Coverage</t>
  </si>
  <si>
    <t>Internal Q-H QA Passed</t>
  </si>
  <si>
    <t>Q-H Redigitization Required</t>
  </si>
  <si>
    <t>Numeric Q-H Pending</t>
  </si>
  <si>
    <t>Experiment-Ready Rows</t>
  </si>
  <si>
    <t>Numeric_Point_Count</t>
  </si>
  <si>
    <t>Monotonic_Q</t>
  </si>
  <si>
    <t>Monotonic_H</t>
  </si>
  <si>
    <t>Endpoint_Flow_Check</t>
  </si>
  <si>
    <t>Endpoint_Head_Check</t>
  </si>
  <si>
    <t>Curve_Source_Evidence</t>
  </si>
  <si>
    <t>QH_Status</t>
  </si>
  <si>
    <t>Experiment_Ready</t>
  </si>
  <si>
    <t>QA_Note</t>
  </si>
  <si>
    <t>N/A</t>
  </si>
  <si>
    <t>Official source contains curve/graph evidence</t>
  </si>
  <si>
    <t>Digitization_Pending</t>
  </si>
  <si>
    <t>No numeric points stored for this Curve_ID; do not use interpolation in experiments yet.</t>
  </si>
  <si>
    <t>Family/system brochure; model-level curve capture pending</t>
  </si>
  <si>
    <t>Official order table only; FE Select/pump curve required</t>
  </si>
  <si>
    <t>PASS</t>
  </si>
  <si>
    <t>Internal_QA_Passed</t>
  </si>
  <si>
    <t>Numeric points exist; internal QA passed, but source-level digitization should still be independently checked.</t>
  </si>
  <si>
    <t>FAIL</t>
  </si>
  <si>
    <t>Redigitization_Required</t>
  </si>
  <si>
    <t>Numeric points exist but must be redigitized from the official source before experiments.</t>
  </si>
  <si>
    <t>Official case-study duty point; full Q-H curve not captured</t>
  </si>
  <si>
    <t>Official product selector/page; curve extraction pending</t>
  </si>
  <si>
    <t>DATASET QA &amp; FREEZE REPORT</t>
  </si>
  <si>
    <t>Freeze date</t>
  </si>
  <si>
    <t>Status</t>
  </si>
  <si>
    <t>POPULATION FROZEN</t>
  </si>
  <si>
    <t>Scope</t>
  </si>
  <si>
    <t>300 configurations; structural QA + current Q-H audit</t>
  </si>
  <si>
    <t>QA Check</t>
  </si>
  <si>
    <t>Result</t>
  </si>
  <si>
    <t>Interpretation</t>
  </si>
  <si>
    <t>Action</t>
  </si>
  <si>
    <t>Count/Detail</t>
  </si>
  <si>
    <t>Pump rows populated</t>
  </si>
  <si>
    <t>All planned IDs are populated</t>
  </si>
  <si>
    <t>Freeze population</t>
  </si>
  <si>
    <t>Unique Pump_ID</t>
  </si>
  <si>
    <t>No duplicate Pump_ID</t>
  </si>
  <si>
    <t>None</t>
  </si>
  <si>
    <t>Segment balance</t>
  </si>
  <si>
    <t>100/100/100</t>
  </si>
  <si>
    <t>Target balance met</t>
  </si>
  <si>
    <t>Source foreign keys</t>
  </si>
  <si>
    <t>All Pump rows resolve to Sources</t>
  </si>
  <si>
    <t>Repair broken FK</t>
  </si>
  <si>
    <t>Controller foreign keys</t>
  </si>
  <si>
    <t>All nonblank controller IDs resolve</t>
  </si>
  <si>
    <t>Blank IDs remain where drive is not captured</t>
  </si>
  <si>
    <t>30 blank</t>
  </si>
  <si>
    <t>QH_Curve_ID populated</t>
  </si>
  <si>
    <t>Every pump has a logical Curve_ID</t>
  </si>
  <si>
    <t>Numeric points still needed</t>
  </si>
  <si>
    <t>Distinct numeric Q-H curves</t>
  </si>
  <si>
    <t>LIMITED</t>
  </si>
  <si>
    <t>Only these Curve_IDs have point tables</t>
  </si>
  <si>
    <t>Digitize remaining curves</t>
  </si>
  <si>
    <t>Pump rows with numeric Q-H</t>
  </si>
  <si>
    <t>Interpolation coverage</t>
  </si>
  <si>
    <t>Increase before experiment release</t>
  </si>
  <si>
    <t>Q-H point rows</t>
  </si>
  <si>
    <t>PASS after repair</t>
  </si>
  <si>
    <t>Corrupted first point of WAS-CURVE-082 repaired</t>
  </si>
  <si>
    <t>Retain repair</t>
  </si>
  <si>
    <t>Monotonic stored curves</t>
  </si>
  <si>
    <t>All 22 stored curves monotonic after repair</t>
  </si>
  <si>
    <t>Internal endpoint QA passed</t>
  </si>
  <si>
    <t>PARTIAL</t>
  </si>
  <si>
    <t>Stored curve endpoints align with catalog max values within tolerance</t>
  </si>
  <si>
    <t>Independent source-level check remains</t>
  </si>
  <si>
    <t>ACTION</t>
  </si>
  <si>
    <t>Endpoint/completeness check failed</t>
  </si>
  <si>
    <t>Redigitize official graphs</t>
  </si>
  <si>
    <t>Numeric curves missing</t>
  </si>
  <si>
    <t>No stored numeric points</t>
  </si>
  <si>
    <t>Digitize before interpolation</t>
  </si>
  <si>
    <t>Hydraulic principle missing</t>
  </si>
  <si>
    <t>Unstated in captured sources; Grundfos classification was added from official family data</t>
  </si>
  <si>
    <t>Do not infer remaining values</t>
  </si>
  <si>
    <t>Rated power missing</t>
  </si>
  <si>
    <t>Mainly LORENTZ family/system records</t>
  </si>
  <si>
    <t>Use model-level datasheets if needed</t>
  </si>
  <si>
    <t>No flow/head numeric field</t>
  </si>
  <si>
    <t>Mainly product-selector/family records</t>
  </si>
  <si>
    <t>Capture model curve/duty data</t>
  </si>
  <si>
    <t>Experiment-ready rows</t>
  </si>
  <si>
    <t>HOLD</t>
  </si>
  <si>
    <t>No pump row is currently marked Verified</t>
  </si>
  <si>
    <t>Do not claim full 300-row Q-H experiment yet</t>
  </si>
  <si>
    <t>Rows</t>
  </si>
  <si>
    <t>DATASET FREEZE LOG</t>
  </si>
  <si>
    <t>Version</t>
  </si>
  <si>
    <t>Freeze_Date</t>
  </si>
  <si>
    <t>Population</t>
  </si>
  <si>
    <t>300/300</t>
  </si>
  <si>
    <t>Population_Freeze</t>
  </si>
  <si>
    <t>YES</t>
  </si>
  <si>
    <t>Segment_Balance</t>
  </si>
  <si>
    <t>100 / 100 / 100</t>
  </si>
  <si>
    <t>Structural_QA</t>
  </si>
  <si>
    <t>Core_Data_SHA256</t>
  </si>
  <si>
    <t>Freeze_Scope</t>
  </si>
  <si>
    <t>Pump population, IDs, source links and current metadata</t>
  </si>
  <si>
    <t>Experiment_Release</t>
  </si>
  <si>
    <t>Why HOLD</t>
  </si>
  <si>
    <t>Q-H numeric coverage is incomplete; 12 stored pilot curves require redigitization and 278 pump rows have no numeric points.</t>
  </si>
  <si>
    <t>Allowed use now</t>
  </si>
  <si>
    <t>Inventory/statistics, manufacturer/segment analysis, database/software architecture, source traceability.</t>
  </si>
  <si>
    <t>Not allowed yet</t>
  </si>
  <si>
    <t>Final interpolation/optimization claims across all 300 rows.</t>
  </si>
  <si>
    <t>Release gate</t>
  </si>
  <si>
    <t>Complete model-level Q-H digitization and mark eligible rows Verification_Status = Verified.</t>
  </si>
  <si>
    <t>Numeric Q-H point rows</t>
  </si>
  <si>
    <t>Controller/drive records</t>
  </si>
  <si>
    <t>Post-freeze QA correction</t>
  </si>
  <si>
    <t>2026-08-14: Dashboard source count corrected from 38 to 39 and two misleading “Verified” labels revised. Core data unchanged.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</si>
</sst>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7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000000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7FBFF"/>
      </patternFill>
    </fill>
    <fill>
      <patternFill patternType="solid">
        <fgColor rgb="FFF7FFF7"/>
      </patternFill>
    </fill>
    <fill>
      <patternFill patternType="solid">
        <fgColor rgb="FFFFF9F2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3" borderId="0" xfId="1" applyFont="1" applyFill="1" applyAlignment="1">
      <alignment wrapText="1"/>
    </xf>
    <xf numFmtId="0" fontId="0" fillId="4" borderId="0" xfId="1" applyFont="1" applyFill="1" applyAlignment="1">
      <alignment wrapText="1"/>
    </xf>
    <xf numFmtId="0" fontId="0" fillId="5" borderId="0" xfId="1" applyFont="1" applyFill="1" applyAlignment="1">
      <alignment wrapText="1"/>
    </xf>
    <xf numFmtId="164" fontId="0" fillId="0" borderId="0" xfId="1" applyNumberFormat="1" applyFont="1" applyAlignment="1">
      <alignment wrapText="1"/>
    </xf>
    <xf numFmtId="2" fontId="0" fillId="3" borderId="0" xfId="1" applyNumberFormat="1" applyFont="1" applyFill="1" applyAlignment="1">
      <alignment wrapText="1"/>
    </xf>
    <xf numFmtId="2" fontId="0" fillId="4" borderId="0" xfId="1" applyNumberFormat="1" applyFont="1" applyFill="1" applyAlignment="1">
      <alignment wrapText="1"/>
    </xf>
    <xf numFmtId="2" fontId="0" fillId="5" borderId="0" xfId="1" applyNumberFormat="1" applyFont="1" applyFill="1" applyAlignment="1">
      <alignment wrapText="1"/>
    </xf>
    <xf numFmtId="2" fontId="0" fillId="0" borderId="0" xfId="1" applyNumberFormat="1" applyFont="1" applyAlignment="1">
      <alignment wrapText="1"/>
    </xf>
    <xf numFmtId="2" fontId="0" fillId="0" borderId="0" xfId="1" applyNumberFormat="1" applyFont="1"/>
    <xf numFmtId="0" fontId="3" fillId="6" borderId="0" xfId="1" applyFont="1" applyFill="1" applyAlignment="1">
      <alignment horizontal="center" vertical="center" wrapText="1"/>
    </xf>
    <xf numFmtId="165" fontId="0" fillId="0" borderId="0" xfId="1" applyNumberFormat="1" applyFont="1"/>
    <xf numFmtId="9" fontId="0" fillId="0" borderId="0" xfId="1" applyNumberFormat="1" applyFont="1"/>
    <xf numFmtId="0" fontId="1" fillId="7" borderId="0" xfId="1" applyFont="1" applyFill="1" applyAlignment="1">
      <alignment horizontal="center" vertical="center" wrapText="1"/>
    </xf>
    <xf numFmtId="0" fontId="5" fillId="8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/>
    </xf>
    <xf numFmtId="0" fontId="4" fillId="7" borderId="0" xfId="1" applyFont="1" applyFill="1" applyAlignment="1">
      <alignment horizontal="center" wrapText="1"/>
    </xf>
    <xf numFmtId="0" fontId="0" fillId="0" borderId="0" xfId="0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3">
    <dxf>
      <font>
        <color rgb="FF990000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274E13"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mpAggregatesTable" displayName="PumpAggregatesTable" ref="A1:AA301">
  <tableColumns count="27">
    <tableColumn id="1" xr3:uid="{00000000-0010-0000-0000-000001000000}" name="Pump_ID"/>
    <tableColumn id="2" xr3:uid="{00000000-0010-0000-0000-000002000000}" name="Application_Segment"/>
    <tableColumn id="3" xr3:uid="{00000000-0010-0000-0000-000003000000}" name="Manufacturer"/>
    <tableColumn id="4" xr3:uid="{00000000-0010-0000-0000-000004000000}" name="Product_Family"/>
    <tableColumn id="5" xr3:uid="{00000000-0010-0000-0000-000005000000}" name="Series"/>
    <tableColumn id="6" xr3:uid="{00000000-0010-0000-0000-000006000000}" name="Model"/>
    <tableColumn id="7" xr3:uid="{00000000-0010-0000-0000-000007000000}" name="Configuration_Name"/>
    <tableColumn id="8" xr3:uid="{00000000-0010-0000-0000-000008000000}" name="Pump_Type"/>
    <tableColumn id="9" xr3:uid="{00000000-0010-0000-0000-000009000000}" name="Installation_Type"/>
    <tableColumn id="10" xr3:uid="{00000000-0010-0000-0000-00000A000000}" name="Hydraulic_Principle"/>
    <tableColumn id="11" xr3:uid="{00000000-0010-0000-0000-00000B000000}" name="Supply_Architecture"/>
    <tableColumn id="12" xr3:uid="{00000000-0010-0000-0000-00000C000000}" name="Motor_Type"/>
    <tableColumn id="13" xr3:uid="{00000000-0010-0000-0000-00000D000000}" name="Rated_Power_kW"/>
    <tableColumn id="14" xr3:uid="{00000000-0010-0000-0000-00000E000000}" name="Max_Flow_m3h"/>
    <tableColumn id="15" xr3:uid="{00000000-0010-0000-0000-00000F000000}" name="Max_Head_m"/>
    <tableColumn id="16" xr3:uid="{00000000-0010-0000-0000-000010000000}" name="Rated_Flow_m3h"/>
    <tableColumn id="17" xr3:uid="{00000000-0010-0000-0000-000011000000}" name="Rated_Head_m"/>
    <tableColumn id="18" xr3:uid="{00000000-0010-0000-0000-000012000000}" name="Efficiency_pct"/>
    <tableColumn id="19" xr3:uid="{00000000-0010-0000-0000-000013000000}" name="Controller_Drive_ID"/>
    <tableColumn id="20" xr3:uid="{00000000-0010-0000-0000-000014000000}" name="QH_Curve_ID"/>
    <tableColumn id="21" xr3:uid="{00000000-0010-0000-0000-000015000000}" name="Parallel_Allowed"/>
    <tableColumn id="22" xr3:uid="{00000000-0010-0000-0000-000016000000}" name="Series_Allowed"/>
    <tableColumn id="23" xr3:uid="{00000000-0010-0000-0000-000017000000}" name="Reserve_Eligible"/>
    <tableColumn id="24" xr3:uid="{00000000-0010-0000-0000-000018000000}" name="Cost_USD"/>
    <tableColumn id="25" xr3:uid="{00000000-0010-0000-0000-000019000000}" name="Source_ID"/>
    <tableColumn id="26" xr3:uid="{00000000-0010-0000-0000-00001A000000}" name="Verification_Status"/>
    <tableColumn id="27" xr3:uid="{00000000-0010-0000-0000-00001B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ydraulicCurvesTable" displayName="HydraulicCurvesTable" ref="A1:K2000">
  <tableColumns count="11">
    <tableColumn id="1" xr3:uid="{00000000-0010-0000-0100-000001000000}" name="Curve_ID"/>
    <tableColumn id="2" xr3:uid="{00000000-0010-0000-0100-000002000000}" name="Pump_ID"/>
    <tableColumn id="3" xr3:uid="{00000000-0010-0000-0100-000003000000}" name="Point_No"/>
    <tableColumn id="4" xr3:uid="{00000000-0010-0000-0100-000004000000}" name="Flow_m3h"/>
    <tableColumn id="5" xr3:uid="{00000000-0010-0000-0100-000005000000}" name="Head_m"/>
    <tableColumn id="6" xr3:uid="{00000000-0010-0000-0100-000006000000}" name="Input_Power_kW"/>
    <tableColumn id="7" xr3:uid="{00000000-0010-0000-0100-000007000000}" name="Efficiency_pct"/>
    <tableColumn id="8" xr3:uid="{00000000-0010-0000-0100-000008000000}" name="Source_ID"/>
    <tableColumn id="9" xr3:uid="{00000000-0010-0000-0100-000009000000}" name="Digitization_Method"/>
    <tableColumn id="10" xr3:uid="{00000000-0010-0000-0100-00000A000000}" name="Verification_Status"/>
    <tableColumn id="11" xr3:uid="{00000000-0010-0000-0100-00000B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lectricalDrivesTable" displayName="ElectricalDrivesTable" ref="A1:P500">
  <tableColumns count="16">
    <tableColumn id="1" xr3:uid="{00000000-0010-0000-0200-000001000000}" name="Controller_Drive_ID"/>
    <tableColumn id="2" xr3:uid="{00000000-0010-0000-0200-000002000000}" name="Manufacturer"/>
    <tableColumn id="3" xr3:uid="{00000000-0010-0000-0200-000003000000}" name="Model"/>
    <tableColumn id="4" xr3:uid="{00000000-0010-0000-0200-000004000000}" name="Supply_Architecture"/>
    <tableColumn id="5" xr3:uid="{00000000-0010-0000-0200-000005000000}" name="Input_DC_Min_V"/>
    <tableColumn id="6" xr3:uid="{00000000-0010-0000-0200-000006000000}" name="Input_DC_Max_V"/>
    <tableColumn id="7" xr3:uid="{00000000-0010-0000-0200-000007000000}" name="MPPT_Min_V"/>
    <tableColumn id="8" xr3:uid="{00000000-0010-0000-0200-000008000000}" name="MPPT_Max_V"/>
    <tableColumn id="9" xr3:uid="{00000000-0010-0000-0200-000009000000}" name="Voc_Max_V"/>
    <tableColumn id="10" xr3:uid="{00000000-0010-0000-0200-00000A000000}" name="Output_Type"/>
    <tableColumn id="11" xr3:uid="{00000000-0010-0000-0200-00000B000000}" name="Output_Voltage_V"/>
    <tableColumn id="12" xr3:uid="{00000000-0010-0000-0200-00000C000000}" name="Max_Current_A"/>
    <tableColumn id="13" xr3:uid="{00000000-0010-0000-0200-00000D000000}" name="Max_Power_kW"/>
    <tableColumn id="14" xr3:uid="{00000000-0010-0000-0200-00000E000000}" name="Efficiency_pct"/>
    <tableColumn id="15" xr3:uid="{00000000-0010-0000-0200-00000F000000}" name="Source_ID"/>
    <tableColumn id="16" xr3:uid="{00000000-0010-0000-0200-000010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Table" displayName="SourcesTable" ref="A1:J100">
  <tableColumns count="10">
    <tableColumn id="1" xr3:uid="{00000000-0010-0000-0300-000001000000}" name="Source_ID"/>
    <tableColumn id="2" xr3:uid="{00000000-0010-0000-0300-000002000000}" name="Manufacturer"/>
    <tableColumn id="3" xr3:uid="{00000000-0010-0000-0300-000003000000}" name="Source_Type"/>
    <tableColumn id="4" xr3:uid="{00000000-0010-0000-0300-000004000000}" name="Document_or_Page_Title"/>
    <tableColumn id="5" xr3:uid="{00000000-0010-0000-0300-000005000000}" name="Official_URL_or_File"/>
    <tableColumn id="6" xr3:uid="{00000000-0010-0000-0300-000006000000}" name="Publication_or_Catalog_Year"/>
    <tableColumn id="7" xr3:uid="{00000000-0010-0000-0300-000007000000}" name="Access_Date"/>
    <tableColumn id="8" xr3:uid="{00000000-0010-0000-0300-000008000000}" name="Page_or_Model_URL"/>
    <tableColumn id="9" xr3:uid="{00000000-0010-0000-0300-000009000000}" name="Official_Source"/>
    <tableColumn id="10" xr3:uid="{00000000-0010-0000-0300-00000A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nufacturerRoadmapTable" displayName="ManufacturerRoadmapTable" ref="A1:J16">
  <tableColumns count="10">
    <tableColumn id="1" xr3:uid="{00000000-0010-0000-0400-000001000000}" name="Segment"/>
    <tableColumn id="2" xr3:uid="{00000000-0010-0000-0400-000002000000}" name="Priority"/>
    <tableColumn id="3" xr3:uid="{00000000-0010-0000-0400-000003000000}" name="Manufacturer"/>
    <tableColumn id="4" xr3:uid="{00000000-0010-0000-0400-000004000000}" name="Product line / family"/>
    <tableColumn id="5" xr3:uid="{00000000-0010-0000-0400-000005000000}" name="Target_count"/>
    <tableColumn id="6" xr3:uid="{00000000-0010-0000-0400-000006000000}" name="Electrical scope"/>
    <tableColumn id="7" xr3:uid="{00000000-0010-0000-0400-000007000000}" name="Evidence status"/>
    <tableColumn id="8" xr3:uid="{00000000-0010-0000-0400-000008000000}" name="Why include"/>
    <tableColumn id="9" xr3:uid="{00000000-0010-0000-0400-000009000000}" name="Official source URL"/>
    <tableColumn id="10" xr3:uid="{00000000-0010-0000-0400-00000A000000}" name="Collection 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taDictionaryTable" displayName="DataDictionaryTable" ref="A1:F38">
  <tableColumns count="6">
    <tableColumn id="1" xr3:uid="{00000000-0010-0000-0500-000001000000}" name="Sheet"/>
    <tableColumn id="2" xr3:uid="{00000000-0010-0000-0500-000002000000}" name="Field"/>
    <tableColumn id="3" xr3:uid="{00000000-0010-0000-0500-000003000000}" name="Required"/>
    <tableColumn id="4" xr3:uid="{00000000-0010-0000-0500-000004000000}" name="Type"/>
    <tableColumn id="5" xr3:uid="{00000000-0010-0000-0500-000005000000}" name="Unit / values"/>
    <tableColumn id="6" xr3:uid="{00000000-0010-0000-0500-000006000000}" name="Definition / collection 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workbookViewId="0">
      <selection sqref="A1:H1"/>
    </sheetView>
  </sheetViews>
  <sheetFormatPr defaultRowHeight="14.25"/>
  <cols>
    <col min="1" max="1" width="22" customWidth="1"/>
    <col min="2" max="2" width="90" customWidth="1"/>
  </cols>
  <sheetData>
    <row r="1" spans="1:8" ht="20.25">
      <c r="A1" s="17" t="s">
        <v>0</v>
      </c>
      <c r="B1" s="17"/>
      <c r="C1" s="17"/>
      <c r="D1" s="17"/>
      <c r="E1" s="17"/>
      <c r="F1" s="17"/>
      <c r="G1" s="17"/>
      <c r="H1" s="17"/>
    </row>
    <row r="3" spans="1:8" ht="15">
      <c r="A3" s="12" t="s">
        <v>1</v>
      </c>
      <c r="B3" s="2" t="s">
        <v>2</v>
      </c>
    </row>
    <row r="4" spans="1:8" ht="15">
      <c r="A4" s="12" t="s">
        <v>3</v>
      </c>
      <c r="B4" s="2" t="s">
        <v>4</v>
      </c>
    </row>
    <row r="5" spans="1:8" ht="15">
      <c r="A5" s="12" t="s">
        <v>5</v>
      </c>
      <c r="B5" s="2" t="s">
        <v>6</v>
      </c>
    </row>
    <row r="6" spans="1:8" ht="15">
      <c r="A6" s="12" t="s">
        <v>7</v>
      </c>
      <c r="B6" s="2" t="s">
        <v>8</v>
      </c>
    </row>
    <row r="7" spans="1:8" ht="28.5">
      <c r="A7" s="12" t="s">
        <v>9</v>
      </c>
      <c r="B7" s="2" t="s">
        <v>10</v>
      </c>
    </row>
    <row r="8" spans="1:8" ht="15">
      <c r="A8" s="12" t="s">
        <v>11</v>
      </c>
      <c r="B8" s="2" t="s">
        <v>12</v>
      </c>
    </row>
    <row r="9" spans="1:8" ht="28.5">
      <c r="A9" s="12" t="s">
        <v>13</v>
      </c>
      <c r="B9" s="2" t="s">
        <v>14</v>
      </c>
    </row>
    <row r="10" spans="1:8" ht="15">
      <c r="A10" s="12" t="s">
        <v>15</v>
      </c>
      <c r="B10" s="2" t="s">
        <v>16</v>
      </c>
    </row>
    <row r="11" spans="1:8" ht="15">
      <c r="A11" s="12" t="s">
        <v>17</v>
      </c>
      <c r="B11" s="2" t="s">
        <v>18</v>
      </c>
    </row>
    <row r="12" spans="1:8" ht="15">
      <c r="A12" s="12" t="s">
        <v>19</v>
      </c>
      <c r="B12" s="2" t="s">
        <v>20</v>
      </c>
    </row>
    <row r="13" spans="1:8" ht="30">
      <c r="A13" s="12" t="s">
        <v>21</v>
      </c>
      <c r="B13" s="2" t="s">
        <v>22</v>
      </c>
    </row>
    <row r="15" spans="1:8">
      <c r="A15" t="s">
        <v>23</v>
      </c>
      <c r="B15" t="s">
        <v>24</v>
      </c>
    </row>
    <row r="16" spans="1:8">
      <c r="A16" t="s">
        <v>25</v>
      </c>
      <c r="B16" t="s">
        <v>26</v>
      </c>
    </row>
    <row r="17" spans="1:2">
      <c r="A17" t="s">
        <v>27</v>
      </c>
      <c r="B17" t="s">
        <v>26</v>
      </c>
    </row>
    <row r="18" spans="1:2">
      <c r="A18" t="s">
        <v>28</v>
      </c>
      <c r="B18" t="s">
        <v>26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34</v>
      </c>
    </row>
    <row r="22" spans="1:2">
      <c r="A22" t="s">
        <v>35</v>
      </c>
      <c r="B22" t="s">
        <v>36</v>
      </c>
    </row>
    <row r="23" spans="1:2">
      <c r="A23" t="s">
        <v>37</v>
      </c>
      <c r="B23" t="s">
        <v>38</v>
      </c>
    </row>
    <row r="24" spans="1:2">
      <c r="A24" t="s">
        <v>39</v>
      </c>
      <c r="B24" t="s">
        <v>40</v>
      </c>
    </row>
    <row r="25" spans="1:2">
      <c r="A25" t="s">
        <v>41</v>
      </c>
      <c r="B25" t="s">
        <v>40</v>
      </c>
    </row>
    <row r="26" spans="1:2">
      <c r="A26" t="s">
        <v>42</v>
      </c>
      <c r="B26" t="s">
        <v>40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46</v>
      </c>
    </row>
    <row r="29" spans="1:2">
      <c r="A29" t="s">
        <v>47</v>
      </c>
      <c r="B29" t="s">
        <v>48</v>
      </c>
    </row>
    <row r="30" spans="1:2">
      <c r="A30" t="s">
        <v>49</v>
      </c>
      <c r="B30" t="s">
        <v>40</v>
      </c>
    </row>
    <row r="31" spans="1:2">
      <c r="A31" t="s">
        <v>50</v>
      </c>
      <c r="B31" t="s">
        <v>51</v>
      </c>
    </row>
    <row r="32" spans="1:2">
      <c r="A32" t="s">
        <v>52</v>
      </c>
      <c r="B32" t="s">
        <v>53</v>
      </c>
    </row>
    <row r="33" spans="1:2">
      <c r="A33" t="s">
        <v>54</v>
      </c>
      <c r="B33" t="s">
        <v>55</v>
      </c>
    </row>
    <row r="34" spans="1:2">
      <c r="A34" t="s">
        <v>56</v>
      </c>
      <c r="B34" t="s">
        <v>57</v>
      </c>
    </row>
    <row r="35" spans="1:2">
      <c r="A35" t="s">
        <v>58</v>
      </c>
      <c r="B35" t="s">
        <v>59</v>
      </c>
    </row>
    <row r="36" spans="1:2">
      <c r="A36" t="s">
        <v>60</v>
      </c>
      <c r="B36" t="s">
        <v>61</v>
      </c>
    </row>
    <row r="37" spans="1:2">
      <c r="A37" t="s">
        <v>62</v>
      </c>
      <c r="B37" t="s">
        <v>63</v>
      </c>
    </row>
    <row r="38" spans="1:2">
      <c r="A38" t="s">
        <v>64</v>
      </c>
      <c r="B38" t="s">
        <v>65</v>
      </c>
    </row>
    <row r="39" spans="1:2">
      <c r="A39" t="s">
        <v>66</v>
      </c>
      <c r="B39" t="s">
        <v>67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00"/>
  <sheetViews>
    <sheetView workbookViewId="0"/>
  </sheetViews>
  <sheetFormatPr defaultRowHeight="14.25"/>
  <cols>
    <col min="1" max="1" width="12" customWidth="1"/>
    <col min="2" max="2" width="16" customWidth="1"/>
    <col min="3" max="3" width="18" customWidth="1"/>
    <col min="4" max="4" width="20" customWidth="1"/>
    <col min="5" max="5" width="16" customWidth="1"/>
    <col min="6" max="6" width="18" customWidth="1"/>
    <col min="7" max="7" width="28" customWidth="1"/>
    <col min="8" max="9" width="18" customWidth="1"/>
    <col min="10" max="11" width="20" customWidth="1"/>
    <col min="12" max="12" width="16" customWidth="1"/>
    <col min="13" max="18" width="14" customWidth="1"/>
    <col min="19" max="19" width="18" customWidth="1"/>
    <col min="20" max="20" width="16" customWidth="1"/>
    <col min="21" max="23" width="14" customWidth="1"/>
    <col min="24" max="25" width="12" customWidth="1"/>
    <col min="26" max="26" width="16" customWidth="1"/>
    <col min="27" max="27" width="30" customWidth="1"/>
  </cols>
  <sheetData>
    <row r="1" spans="1:52" ht="30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28.5">
      <c r="A2" s="3" t="s">
        <v>95</v>
      </c>
      <c r="B2" s="3" t="s">
        <v>96</v>
      </c>
      <c r="C2" s="3" t="s">
        <v>97</v>
      </c>
      <c r="D2" s="3" t="s">
        <v>98</v>
      </c>
      <c r="E2" s="3" t="s">
        <v>99</v>
      </c>
      <c r="F2" s="3" t="s">
        <v>100</v>
      </c>
      <c r="G2" s="3" t="s">
        <v>101</v>
      </c>
      <c r="H2" s="3" t="s">
        <v>102</v>
      </c>
      <c r="I2" s="3" t="s">
        <v>103</v>
      </c>
      <c r="J2" s="3" t="s">
        <v>104</v>
      </c>
      <c r="K2" s="3" t="s">
        <v>105</v>
      </c>
      <c r="L2" s="3" t="s">
        <v>106</v>
      </c>
      <c r="M2" s="7">
        <v>0.12</v>
      </c>
      <c r="N2" s="7">
        <v>1.2</v>
      </c>
      <c r="O2" s="7">
        <v>56</v>
      </c>
      <c r="P2" s="7">
        <v>0.6</v>
      </c>
      <c r="Q2" s="7"/>
      <c r="R2" s="7"/>
      <c r="S2" s="3" t="s">
        <v>107</v>
      </c>
      <c r="T2" s="3" t="s">
        <v>108</v>
      </c>
      <c r="U2" s="3" t="s">
        <v>109</v>
      </c>
      <c r="V2" s="3" t="s">
        <v>109</v>
      </c>
      <c r="W2" s="3" t="s">
        <v>110</v>
      </c>
      <c r="X2" s="7"/>
      <c r="Y2" s="3" t="s">
        <v>111</v>
      </c>
      <c r="Z2" s="3" t="s">
        <v>112</v>
      </c>
      <c r="AA2" s="3" t="s">
        <v>113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28.5">
      <c r="A3" s="3" t="s">
        <v>114</v>
      </c>
      <c r="B3" s="3" t="s">
        <v>96</v>
      </c>
      <c r="C3" s="3" t="s">
        <v>97</v>
      </c>
      <c r="D3" s="3" t="s">
        <v>98</v>
      </c>
      <c r="E3" s="3" t="s">
        <v>99</v>
      </c>
      <c r="F3" s="3" t="s">
        <v>115</v>
      </c>
      <c r="G3" s="3" t="s">
        <v>116</v>
      </c>
      <c r="H3" s="3" t="s">
        <v>102</v>
      </c>
      <c r="I3" s="3" t="s">
        <v>103</v>
      </c>
      <c r="J3" s="3" t="s">
        <v>104</v>
      </c>
      <c r="K3" s="3" t="s">
        <v>105</v>
      </c>
      <c r="L3" s="3" t="s">
        <v>106</v>
      </c>
      <c r="M3" s="7">
        <v>0.21</v>
      </c>
      <c r="N3" s="7">
        <v>1.5</v>
      </c>
      <c r="O3" s="7">
        <v>77</v>
      </c>
      <c r="P3" s="7">
        <v>0.8</v>
      </c>
      <c r="Q3" s="7"/>
      <c r="R3" s="7"/>
      <c r="S3" s="3" t="s">
        <v>117</v>
      </c>
      <c r="T3" s="3" t="s">
        <v>118</v>
      </c>
      <c r="U3" s="3" t="s">
        <v>109</v>
      </c>
      <c r="V3" s="3" t="s">
        <v>109</v>
      </c>
      <c r="W3" s="3" t="s">
        <v>110</v>
      </c>
      <c r="X3" s="7"/>
      <c r="Y3" s="3" t="s">
        <v>111</v>
      </c>
      <c r="Z3" s="3" t="s">
        <v>112</v>
      </c>
      <c r="AA3" s="3" t="s">
        <v>113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28.5">
      <c r="A4" s="3" t="s">
        <v>119</v>
      </c>
      <c r="B4" s="3" t="s">
        <v>96</v>
      </c>
      <c r="C4" s="3" t="s">
        <v>97</v>
      </c>
      <c r="D4" s="3" t="s">
        <v>98</v>
      </c>
      <c r="E4" s="3" t="s">
        <v>99</v>
      </c>
      <c r="F4" s="3" t="s">
        <v>120</v>
      </c>
      <c r="G4" s="3" t="s">
        <v>121</v>
      </c>
      <c r="H4" s="3" t="s">
        <v>102</v>
      </c>
      <c r="I4" s="3" t="s">
        <v>103</v>
      </c>
      <c r="J4" s="3" t="s">
        <v>104</v>
      </c>
      <c r="K4" s="3" t="s">
        <v>105</v>
      </c>
      <c r="L4" s="3" t="s">
        <v>106</v>
      </c>
      <c r="M4" s="7">
        <v>0.5</v>
      </c>
      <c r="N4" s="7">
        <v>1.7</v>
      </c>
      <c r="O4" s="7">
        <v>100</v>
      </c>
      <c r="P4" s="7">
        <v>0.9</v>
      </c>
      <c r="Q4" s="7"/>
      <c r="R4" s="7"/>
      <c r="S4" s="3" t="s">
        <v>122</v>
      </c>
      <c r="T4" s="3" t="s">
        <v>123</v>
      </c>
      <c r="U4" s="3" t="s">
        <v>109</v>
      </c>
      <c r="V4" s="3" t="s">
        <v>109</v>
      </c>
      <c r="W4" s="3" t="s">
        <v>110</v>
      </c>
      <c r="X4" s="7"/>
      <c r="Y4" s="3" t="s">
        <v>111</v>
      </c>
      <c r="Z4" s="3" t="s">
        <v>112</v>
      </c>
      <c r="AA4" s="3" t="s">
        <v>124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28.5">
      <c r="A5" s="3" t="s">
        <v>125</v>
      </c>
      <c r="B5" s="3" t="s">
        <v>96</v>
      </c>
      <c r="C5" s="3" t="s">
        <v>97</v>
      </c>
      <c r="D5" s="3" t="s">
        <v>98</v>
      </c>
      <c r="E5" s="3" t="s">
        <v>126</v>
      </c>
      <c r="F5" s="3" t="s">
        <v>127</v>
      </c>
      <c r="G5" s="3" t="s">
        <v>128</v>
      </c>
      <c r="H5" s="3" t="s">
        <v>102</v>
      </c>
      <c r="I5" s="3" t="s">
        <v>103</v>
      </c>
      <c r="J5" s="3" t="s">
        <v>104</v>
      </c>
      <c r="K5" s="3" t="s">
        <v>105</v>
      </c>
      <c r="L5" s="3" t="s">
        <v>106</v>
      </c>
      <c r="M5" s="7">
        <v>0.12</v>
      </c>
      <c r="N5" s="7">
        <v>1.2</v>
      </c>
      <c r="O5" s="7">
        <v>56</v>
      </c>
      <c r="P5" s="7">
        <v>0.6</v>
      </c>
      <c r="Q5" s="7"/>
      <c r="R5" s="7"/>
      <c r="S5" s="3" t="s">
        <v>107</v>
      </c>
      <c r="T5" s="3" t="s">
        <v>129</v>
      </c>
      <c r="U5" s="3" t="s">
        <v>109</v>
      </c>
      <c r="V5" s="3" t="s">
        <v>109</v>
      </c>
      <c r="W5" s="3" t="s">
        <v>110</v>
      </c>
      <c r="X5" s="7"/>
      <c r="Y5" s="3" t="s">
        <v>111</v>
      </c>
      <c r="Z5" s="3" t="s">
        <v>112</v>
      </c>
      <c r="AA5" s="3" t="s">
        <v>130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28.5">
      <c r="A6" s="3" t="s">
        <v>131</v>
      </c>
      <c r="B6" s="3" t="s">
        <v>96</v>
      </c>
      <c r="C6" s="3" t="s">
        <v>97</v>
      </c>
      <c r="D6" s="3" t="s">
        <v>98</v>
      </c>
      <c r="E6" s="3" t="s">
        <v>126</v>
      </c>
      <c r="F6" s="3" t="s">
        <v>132</v>
      </c>
      <c r="G6" s="3" t="s">
        <v>133</v>
      </c>
      <c r="H6" s="3" t="s">
        <v>102</v>
      </c>
      <c r="I6" s="3" t="s">
        <v>103</v>
      </c>
      <c r="J6" s="3" t="s">
        <v>104</v>
      </c>
      <c r="K6" s="3" t="s">
        <v>105</v>
      </c>
      <c r="L6" s="3" t="s">
        <v>106</v>
      </c>
      <c r="M6" s="7">
        <v>0.21</v>
      </c>
      <c r="N6" s="7">
        <v>1.2</v>
      </c>
      <c r="O6" s="7">
        <v>77</v>
      </c>
      <c r="P6" s="7">
        <v>0.7</v>
      </c>
      <c r="Q6" s="7"/>
      <c r="R6" s="7"/>
      <c r="S6" s="3" t="s">
        <v>117</v>
      </c>
      <c r="T6" s="3" t="s">
        <v>134</v>
      </c>
      <c r="U6" s="3" t="s">
        <v>109</v>
      </c>
      <c r="V6" s="3" t="s">
        <v>109</v>
      </c>
      <c r="W6" s="3" t="s">
        <v>110</v>
      </c>
      <c r="X6" s="7"/>
      <c r="Y6" s="3" t="s">
        <v>111</v>
      </c>
      <c r="Z6" s="3" t="s">
        <v>112</v>
      </c>
      <c r="AA6" s="3" t="s">
        <v>130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28.5">
      <c r="A7" s="3" t="s">
        <v>135</v>
      </c>
      <c r="B7" s="3" t="s">
        <v>96</v>
      </c>
      <c r="C7" s="3" t="s">
        <v>97</v>
      </c>
      <c r="D7" s="3" t="s">
        <v>98</v>
      </c>
      <c r="E7" s="3" t="s">
        <v>126</v>
      </c>
      <c r="F7" s="3" t="s">
        <v>136</v>
      </c>
      <c r="G7" s="3" t="s">
        <v>137</v>
      </c>
      <c r="H7" s="3" t="s">
        <v>102</v>
      </c>
      <c r="I7" s="3" t="s">
        <v>103</v>
      </c>
      <c r="J7" s="3" t="s">
        <v>104</v>
      </c>
      <c r="K7" s="3" t="s">
        <v>105</v>
      </c>
      <c r="L7" s="3" t="s">
        <v>106</v>
      </c>
      <c r="M7" s="7">
        <v>0.5</v>
      </c>
      <c r="N7" s="7">
        <v>1.7</v>
      </c>
      <c r="O7" s="7">
        <v>109</v>
      </c>
      <c r="P7" s="7">
        <v>0.9</v>
      </c>
      <c r="Q7" s="7"/>
      <c r="R7" s="7"/>
      <c r="S7" s="3" t="s">
        <v>122</v>
      </c>
      <c r="T7" s="3" t="s">
        <v>138</v>
      </c>
      <c r="U7" s="3" t="s">
        <v>109</v>
      </c>
      <c r="V7" s="3" t="s">
        <v>109</v>
      </c>
      <c r="W7" s="3" t="s">
        <v>110</v>
      </c>
      <c r="X7" s="7"/>
      <c r="Y7" s="3" t="s">
        <v>111</v>
      </c>
      <c r="Z7" s="3" t="s">
        <v>112</v>
      </c>
      <c r="AA7" s="3" t="s">
        <v>139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28.5">
      <c r="A8" s="3" t="s">
        <v>140</v>
      </c>
      <c r="B8" s="3" t="s">
        <v>96</v>
      </c>
      <c r="C8" s="3" t="s">
        <v>97</v>
      </c>
      <c r="D8" s="3" t="s">
        <v>98</v>
      </c>
      <c r="E8" s="3" t="s">
        <v>126</v>
      </c>
      <c r="F8" s="3" t="s">
        <v>141</v>
      </c>
      <c r="G8" s="3" t="s">
        <v>142</v>
      </c>
      <c r="H8" s="3" t="s">
        <v>102</v>
      </c>
      <c r="I8" s="3" t="s">
        <v>103</v>
      </c>
      <c r="J8" s="3" t="s">
        <v>104</v>
      </c>
      <c r="K8" s="3" t="s">
        <v>105</v>
      </c>
      <c r="L8" s="3" t="s">
        <v>106</v>
      </c>
      <c r="M8" s="7">
        <v>0.75</v>
      </c>
      <c r="N8" s="7">
        <v>2</v>
      </c>
      <c r="O8" s="7">
        <v>150</v>
      </c>
      <c r="P8" s="7">
        <v>1</v>
      </c>
      <c r="Q8" s="7"/>
      <c r="R8" s="7"/>
      <c r="S8" s="3" t="s">
        <v>143</v>
      </c>
      <c r="T8" s="3" t="s">
        <v>144</v>
      </c>
      <c r="U8" s="3" t="s">
        <v>109</v>
      </c>
      <c r="V8" s="3" t="s">
        <v>109</v>
      </c>
      <c r="W8" s="3" t="s">
        <v>110</v>
      </c>
      <c r="X8" s="7"/>
      <c r="Y8" s="3" t="s">
        <v>111</v>
      </c>
      <c r="Z8" s="3" t="s">
        <v>112</v>
      </c>
      <c r="AA8" s="3" t="s">
        <v>145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28.5">
      <c r="A9" s="3" t="s">
        <v>146</v>
      </c>
      <c r="B9" s="3" t="s">
        <v>96</v>
      </c>
      <c r="C9" s="3" t="s">
        <v>97</v>
      </c>
      <c r="D9" s="3" t="s">
        <v>98</v>
      </c>
      <c r="E9" s="3" t="s">
        <v>147</v>
      </c>
      <c r="F9" s="3" t="s">
        <v>148</v>
      </c>
      <c r="G9" s="3" t="s">
        <v>149</v>
      </c>
      <c r="H9" s="3" t="s">
        <v>102</v>
      </c>
      <c r="I9" s="3" t="s">
        <v>103</v>
      </c>
      <c r="J9" s="3" t="s">
        <v>150</v>
      </c>
      <c r="K9" s="3" t="s">
        <v>105</v>
      </c>
      <c r="L9" s="3" t="s">
        <v>106</v>
      </c>
      <c r="M9" s="7">
        <v>0.3</v>
      </c>
      <c r="N9" s="7">
        <v>1.7</v>
      </c>
      <c r="O9" s="7">
        <v>52</v>
      </c>
      <c r="P9" s="7">
        <v>0.8</v>
      </c>
      <c r="Q9" s="7"/>
      <c r="R9" s="7"/>
      <c r="S9" s="3" t="s">
        <v>151</v>
      </c>
      <c r="T9" s="3" t="s">
        <v>152</v>
      </c>
      <c r="U9" s="3" t="s">
        <v>109</v>
      </c>
      <c r="V9" s="3" t="s">
        <v>109</v>
      </c>
      <c r="W9" s="3" t="s">
        <v>110</v>
      </c>
      <c r="X9" s="7"/>
      <c r="Y9" s="3" t="s">
        <v>111</v>
      </c>
      <c r="Z9" s="3" t="s">
        <v>112</v>
      </c>
      <c r="AA9" s="3" t="s">
        <v>153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28.5">
      <c r="A10" s="3" t="s">
        <v>154</v>
      </c>
      <c r="B10" s="3" t="s">
        <v>96</v>
      </c>
      <c r="C10" s="3" t="s">
        <v>97</v>
      </c>
      <c r="D10" s="3" t="s">
        <v>98</v>
      </c>
      <c r="E10" s="3" t="s">
        <v>147</v>
      </c>
      <c r="F10" s="3" t="s">
        <v>155</v>
      </c>
      <c r="G10" s="3" t="s">
        <v>156</v>
      </c>
      <c r="H10" s="3" t="s">
        <v>102</v>
      </c>
      <c r="I10" s="3" t="s">
        <v>103</v>
      </c>
      <c r="J10" s="3" t="s">
        <v>150</v>
      </c>
      <c r="K10" s="3" t="s">
        <v>105</v>
      </c>
      <c r="L10" s="3" t="s">
        <v>106</v>
      </c>
      <c r="M10" s="7">
        <v>0.4</v>
      </c>
      <c r="N10" s="7">
        <v>1.7</v>
      </c>
      <c r="O10" s="7">
        <v>70</v>
      </c>
      <c r="P10" s="7">
        <v>0.8</v>
      </c>
      <c r="Q10" s="7"/>
      <c r="R10" s="7"/>
      <c r="S10" s="3" t="s">
        <v>157</v>
      </c>
      <c r="T10" s="3" t="s">
        <v>158</v>
      </c>
      <c r="U10" s="3" t="s">
        <v>109</v>
      </c>
      <c r="V10" s="3" t="s">
        <v>109</v>
      </c>
      <c r="W10" s="3" t="s">
        <v>110</v>
      </c>
      <c r="X10" s="7"/>
      <c r="Y10" s="3" t="s">
        <v>111</v>
      </c>
      <c r="Z10" s="3" t="s">
        <v>112</v>
      </c>
      <c r="AA10" s="3" t="s">
        <v>159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28.5">
      <c r="A11" s="3" t="s">
        <v>160</v>
      </c>
      <c r="B11" s="3" t="s">
        <v>96</v>
      </c>
      <c r="C11" s="3" t="s">
        <v>97</v>
      </c>
      <c r="D11" s="3" t="s">
        <v>98</v>
      </c>
      <c r="E11" s="3" t="s">
        <v>147</v>
      </c>
      <c r="F11" s="3" t="s">
        <v>161</v>
      </c>
      <c r="G11" s="3" t="s">
        <v>162</v>
      </c>
      <c r="H11" s="3" t="s">
        <v>102</v>
      </c>
      <c r="I11" s="3" t="s">
        <v>103</v>
      </c>
      <c r="J11" s="3" t="s">
        <v>150</v>
      </c>
      <c r="K11" s="3" t="s">
        <v>105</v>
      </c>
      <c r="L11" s="3" t="s">
        <v>106</v>
      </c>
      <c r="M11" s="7">
        <v>0.3</v>
      </c>
      <c r="N11" s="7">
        <v>2.2000000000000002</v>
      </c>
      <c r="O11" s="7">
        <v>36</v>
      </c>
      <c r="P11" s="7">
        <v>1.2</v>
      </c>
      <c r="Q11" s="7"/>
      <c r="R11" s="7"/>
      <c r="S11" s="3" t="s">
        <v>151</v>
      </c>
      <c r="T11" s="3" t="s">
        <v>163</v>
      </c>
      <c r="U11" s="3" t="s">
        <v>109</v>
      </c>
      <c r="V11" s="3" t="s">
        <v>109</v>
      </c>
      <c r="W11" s="3" t="s">
        <v>110</v>
      </c>
      <c r="X11" s="7"/>
      <c r="Y11" s="3" t="s">
        <v>111</v>
      </c>
      <c r="Z11" s="3" t="s">
        <v>112</v>
      </c>
      <c r="AA11" s="3" t="s">
        <v>164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28.5">
      <c r="A12" s="3" t="s">
        <v>165</v>
      </c>
      <c r="B12" s="3" t="s">
        <v>96</v>
      </c>
      <c r="C12" s="3" t="s">
        <v>97</v>
      </c>
      <c r="D12" s="3" t="s">
        <v>98</v>
      </c>
      <c r="E12" s="3" t="s">
        <v>147</v>
      </c>
      <c r="F12" s="3" t="s">
        <v>166</v>
      </c>
      <c r="G12" s="3" t="s">
        <v>167</v>
      </c>
      <c r="H12" s="3" t="s">
        <v>102</v>
      </c>
      <c r="I12" s="3" t="s">
        <v>103</v>
      </c>
      <c r="J12" s="3" t="s">
        <v>150</v>
      </c>
      <c r="K12" s="3" t="s">
        <v>105</v>
      </c>
      <c r="L12" s="3" t="s">
        <v>106</v>
      </c>
      <c r="M12" s="7">
        <v>0.4</v>
      </c>
      <c r="N12" s="7">
        <v>2.2000000000000002</v>
      </c>
      <c r="O12" s="7">
        <v>55</v>
      </c>
      <c r="P12" s="7">
        <v>1.2</v>
      </c>
      <c r="Q12" s="7"/>
      <c r="R12" s="7"/>
      <c r="S12" s="3" t="s">
        <v>157</v>
      </c>
      <c r="T12" s="3" t="s">
        <v>168</v>
      </c>
      <c r="U12" s="3" t="s">
        <v>109</v>
      </c>
      <c r="V12" s="3" t="s">
        <v>109</v>
      </c>
      <c r="W12" s="3" t="s">
        <v>110</v>
      </c>
      <c r="X12" s="7"/>
      <c r="Y12" s="3" t="s">
        <v>111</v>
      </c>
      <c r="Z12" s="3" t="s">
        <v>112</v>
      </c>
      <c r="AA12" s="3" t="s">
        <v>169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28.5">
      <c r="A13" s="3" t="s">
        <v>170</v>
      </c>
      <c r="B13" s="3" t="s">
        <v>96</v>
      </c>
      <c r="C13" s="3" t="s">
        <v>97</v>
      </c>
      <c r="D13" s="3" t="s">
        <v>98</v>
      </c>
      <c r="E13" s="3" t="s">
        <v>171</v>
      </c>
      <c r="F13" s="3" t="s">
        <v>172</v>
      </c>
      <c r="G13" s="3" t="s">
        <v>173</v>
      </c>
      <c r="H13" s="3" t="s">
        <v>102</v>
      </c>
      <c r="I13" s="3" t="s">
        <v>103</v>
      </c>
      <c r="J13" s="3" t="s">
        <v>150</v>
      </c>
      <c r="K13" s="3" t="s">
        <v>105</v>
      </c>
      <c r="L13" s="3" t="s">
        <v>106</v>
      </c>
      <c r="M13" s="7">
        <v>0.3</v>
      </c>
      <c r="N13" s="7">
        <v>2</v>
      </c>
      <c r="O13" s="7">
        <v>53</v>
      </c>
      <c r="P13" s="7">
        <v>0.8</v>
      </c>
      <c r="Q13" s="7"/>
      <c r="R13" s="7"/>
      <c r="S13" s="3" t="s">
        <v>151</v>
      </c>
      <c r="T13" s="3" t="s">
        <v>174</v>
      </c>
      <c r="U13" s="3" t="s">
        <v>109</v>
      </c>
      <c r="V13" s="3" t="s">
        <v>109</v>
      </c>
      <c r="W13" s="3" t="s">
        <v>110</v>
      </c>
      <c r="X13" s="7"/>
      <c r="Y13" s="3" t="s">
        <v>111</v>
      </c>
      <c r="Z13" s="3" t="s">
        <v>112</v>
      </c>
      <c r="AA13" s="3" t="s">
        <v>175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28.5">
      <c r="A14" s="3" t="s">
        <v>176</v>
      </c>
      <c r="B14" s="3" t="s">
        <v>96</v>
      </c>
      <c r="C14" s="3" t="s">
        <v>97</v>
      </c>
      <c r="D14" s="3" t="s">
        <v>98</v>
      </c>
      <c r="E14" s="3" t="s">
        <v>171</v>
      </c>
      <c r="F14" s="3" t="s">
        <v>177</v>
      </c>
      <c r="G14" s="3" t="s">
        <v>178</v>
      </c>
      <c r="H14" s="3" t="s">
        <v>102</v>
      </c>
      <c r="I14" s="3" t="s">
        <v>103</v>
      </c>
      <c r="J14" s="3" t="s">
        <v>150</v>
      </c>
      <c r="K14" s="3" t="s">
        <v>105</v>
      </c>
      <c r="L14" s="3" t="s">
        <v>106</v>
      </c>
      <c r="M14" s="7">
        <v>0.6</v>
      </c>
      <c r="N14" s="7">
        <v>2</v>
      </c>
      <c r="O14" s="7">
        <v>105</v>
      </c>
      <c r="P14" s="7">
        <v>0.8</v>
      </c>
      <c r="Q14" s="7"/>
      <c r="R14" s="7"/>
      <c r="S14" s="3" t="s">
        <v>179</v>
      </c>
      <c r="T14" s="3" t="s">
        <v>180</v>
      </c>
      <c r="U14" s="3" t="s">
        <v>109</v>
      </c>
      <c r="V14" s="3" t="s">
        <v>109</v>
      </c>
      <c r="W14" s="3" t="s">
        <v>110</v>
      </c>
      <c r="X14" s="7"/>
      <c r="Y14" s="3" t="s">
        <v>111</v>
      </c>
      <c r="Z14" s="3" t="s">
        <v>112</v>
      </c>
      <c r="AA14" s="3" t="s">
        <v>181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28.5">
      <c r="A15" s="3" t="s">
        <v>182</v>
      </c>
      <c r="B15" s="3" t="s">
        <v>96</v>
      </c>
      <c r="C15" s="3" t="s">
        <v>97</v>
      </c>
      <c r="D15" s="3" t="s">
        <v>98</v>
      </c>
      <c r="E15" s="3" t="s">
        <v>171</v>
      </c>
      <c r="F15" s="3" t="s">
        <v>183</v>
      </c>
      <c r="G15" s="3" t="s">
        <v>184</v>
      </c>
      <c r="H15" s="3" t="s">
        <v>102</v>
      </c>
      <c r="I15" s="3" t="s">
        <v>103</v>
      </c>
      <c r="J15" s="3" t="s">
        <v>150</v>
      </c>
      <c r="K15" s="3" t="s">
        <v>105</v>
      </c>
      <c r="L15" s="3" t="s">
        <v>106</v>
      </c>
      <c r="M15" s="7">
        <v>0.75</v>
      </c>
      <c r="N15" s="7">
        <v>2</v>
      </c>
      <c r="O15" s="7">
        <v>130</v>
      </c>
      <c r="P15" s="7">
        <v>0.8</v>
      </c>
      <c r="Q15" s="7"/>
      <c r="R15" s="7"/>
      <c r="S15" s="3" t="s">
        <v>143</v>
      </c>
      <c r="T15" s="3" t="s">
        <v>185</v>
      </c>
      <c r="U15" s="3" t="s">
        <v>109</v>
      </c>
      <c r="V15" s="3" t="s">
        <v>109</v>
      </c>
      <c r="W15" s="3" t="s">
        <v>110</v>
      </c>
      <c r="X15" s="7"/>
      <c r="Y15" s="3" t="s">
        <v>111</v>
      </c>
      <c r="Z15" s="3" t="s">
        <v>112</v>
      </c>
      <c r="AA15" s="3" t="s">
        <v>186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28.5">
      <c r="A16" s="3" t="s">
        <v>187</v>
      </c>
      <c r="B16" s="3" t="s">
        <v>96</v>
      </c>
      <c r="C16" s="3" t="s">
        <v>97</v>
      </c>
      <c r="D16" s="3" t="s">
        <v>98</v>
      </c>
      <c r="E16" s="3" t="s">
        <v>171</v>
      </c>
      <c r="F16" s="3" t="s">
        <v>188</v>
      </c>
      <c r="G16" s="3" t="s">
        <v>189</v>
      </c>
      <c r="H16" s="3" t="s">
        <v>102</v>
      </c>
      <c r="I16" s="3" t="s">
        <v>103</v>
      </c>
      <c r="J16" s="3" t="s">
        <v>150</v>
      </c>
      <c r="K16" s="3" t="s">
        <v>105</v>
      </c>
      <c r="L16" s="3" t="s">
        <v>106</v>
      </c>
      <c r="M16" s="7">
        <v>1.1000000000000001</v>
      </c>
      <c r="N16" s="7">
        <v>2</v>
      </c>
      <c r="O16" s="7">
        <v>190</v>
      </c>
      <c r="P16" s="7">
        <v>0.8</v>
      </c>
      <c r="Q16" s="7"/>
      <c r="R16" s="7"/>
      <c r="S16" s="3" t="s">
        <v>190</v>
      </c>
      <c r="T16" s="3" t="s">
        <v>191</v>
      </c>
      <c r="U16" s="3" t="s">
        <v>109</v>
      </c>
      <c r="V16" s="3" t="s">
        <v>109</v>
      </c>
      <c r="W16" s="3" t="s">
        <v>110</v>
      </c>
      <c r="X16" s="7"/>
      <c r="Y16" s="3" t="s">
        <v>111</v>
      </c>
      <c r="Z16" s="3" t="s">
        <v>112</v>
      </c>
      <c r="AA16" s="3" t="s">
        <v>192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28.5">
      <c r="A17" s="3" t="s">
        <v>193</v>
      </c>
      <c r="B17" s="3" t="s">
        <v>96</v>
      </c>
      <c r="C17" s="3" t="s">
        <v>97</v>
      </c>
      <c r="D17" s="3" t="s">
        <v>98</v>
      </c>
      <c r="E17" s="3" t="s">
        <v>171</v>
      </c>
      <c r="F17" s="3" t="s">
        <v>194</v>
      </c>
      <c r="G17" s="3" t="s">
        <v>195</v>
      </c>
      <c r="H17" s="3" t="s">
        <v>102</v>
      </c>
      <c r="I17" s="3" t="s">
        <v>103</v>
      </c>
      <c r="J17" s="3" t="s">
        <v>150</v>
      </c>
      <c r="K17" s="3" t="s">
        <v>105</v>
      </c>
      <c r="L17" s="3" t="s">
        <v>106</v>
      </c>
      <c r="M17" s="7">
        <v>0.3</v>
      </c>
      <c r="N17" s="7">
        <v>3.5</v>
      </c>
      <c r="O17" s="7">
        <v>35</v>
      </c>
      <c r="P17" s="7">
        <v>1.8</v>
      </c>
      <c r="Q17" s="7"/>
      <c r="R17" s="7"/>
      <c r="S17" s="3" t="s">
        <v>151</v>
      </c>
      <c r="T17" s="3" t="s">
        <v>196</v>
      </c>
      <c r="U17" s="3" t="s">
        <v>109</v>
      </c>
      <c r="V17" s="3" t="s">
        <v>109</v>
      </c>
      <c r="W17" s="3" t="s">
        <v>110</v>
      </c>
      <c r="X17" s="7"/>
      <c r="Y17" s="3" t="s">
        <v>111</v>
      </c>
      <c r="Z17" s="3" t="s">
        <v>112</v>
      </c>
      <c r="AA17" s="3" t="s">
        <v>197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28.5">
      <c r="A18" s="3" t="s">
        <v>198</v>
      </c>
      <c r="B18" s="3" t="s">
        <v>96</v>
      </c>
      <c r="C18" s="3" t="s">
        <v>97</v>
      </c>
      <c r="D18" s="3" t="s">
        <v>98</v>
      </c>
      <c r="E18" s="3" t="s">
        <v>171</v>
      </c>
      <c r="F18" s="3" t="s">
        <v>199</v>
      </c>
      <c r="G18" s="3" t="s">
        <v>200</v>
      </c>
      <c r="H18" s="3" t="s">
        <v>102</v>
      </c>
      <c r="I18" s="3" t="s">
        <v>103</v>
      </c>
      <c r="J18" s="3" t="s">
        <v>150</v>
      </c>
      <c r="K18" s="3" t="s">
        <v>105</v>
      </c>
      <c r="L18" s="3" t="s">
        <v>106</v>
      </c>
      <c r="M18" s="7">
        <v>0.4</v>
      </c>
      <c r="N18" s="7">
        <v>3.8</v>
      </c>
      <c r="O18" s="7">
        <v>55</v>
      </c>
      <c r="P18" s="7">
        <v>1.8</v>
      </c>
      <c r="Q18" s="7"/>
      <c r="R18" s="7"/>
      <c r="S18" s="3" t="s">
        <v>157</v>
      </c>
      <c r="T18" s="3" t="s">
        <v>201</v>
      </c>
      <c r="U18" s="3" t="s">
        <v>109</v>
      </c>
      <c r="V18" s="3" t="s">
        <v>109</v>
      </c>
      <c r="W18" s="3" t="s">
        <v>110</v>
      </c>
      <c r="X18" s="7"/>
      <c r="Y18" s="3" t="s">
        <v>111</v>
      </c>
      <c r="Z18" s="3" t="s">
        <v>112</v>
      </c>
      <c r="AA18" s="3" t="s">
        <v>202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28.5">
      <c r="A19" s="3" t="s">
        <v>203</v>
      </c>
      <c r="B19" s="3" t="s">
        <v>96</v>
      </c>
      <c r="C19" s="3" t="s">
        <v>97</v>
      </c>
      <c r="D19" s="3" t="s">
        <v>98</v>
      </c>
      <c r="E19" s="3" t="s">
        <v>171</v>
      </c>
      <c r="F19" s="3" t="s">
        <v>204</v>
      </c>
      <c r="G19" s="3" t="s">
        <v>205</v>
      </c>
      <c r="H19" s="3" t="s">
        <v>102</v>
      </c>
      <c r="I19" s="3" t="s">
        <v>103</v>
      </c>
      <c r="J19" s="3" t="s">
        <v>150</v>
      </c>
      <c r="K19" s="3" t="s">
        <v>105</v>
      </c>
      <c r="L19" s="3" t="s">
        <v>106</v>
      </c>
      <c r="M19" s="7">
        <v>0.6</v>
      </c>
      <c r="N19" s="7">
        <v>3.8</v>
      </c>
      <c r="O19" s="7">
        <v>80</v>
      </c>
      <c r="P19" s="7">
        <v>1.8</v>
      </c>
      <c r="Q19" s="7"/>
      <c r="R19" s="7"/>
      <c r="S19" s="3" t="s">
        <v>179</v>
      </c>
      <c r="T19" s="3" t="s">
        <v>206</v>
      </c>
      <c r="U19" s="3" t="s">
        <v>109</v>
      </c>
      <c r="V19" s="3" t="s">
        <v>109</v>
      </c>
      <c r="W19" s="3" t="s">
        <v>110</v>
      </c>
      <c r="X19" s="7"/>
      <c r="Y19" s="3" t="s">
        <v>111</v>
      </c>
      <c r="Z19" s="3" t="s">
        <v>112</v>
      </c>
      <c r="AA19" s="3" t="s">
        <v>207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28.5">
      <c r="A20" s="3" t="s">
        <v>208</v>
      </c>
      <c r="B20" s="3" t="s">
        <v>96</v>
      </c>
      <c r="C20" s="3" t="s">
        <v>97</v>
      </c>
      <c r="D20" s="3" t="s">
        <v>98</v>
      </c>
      <c r="E20" s="3" t="s">
        <v>171</v>
      </c>
      <c r="F20" s="3" t="s">
        <v>209</v>
      </c>
      <c r="G20" s="3" t="s">
        <v>210</v>
      </c>
      <c r="H20" s="3" t="s">
        <v>102</v>
      </c>
      <c r="I20" s="3" t="s">
        <v>103</v>
      </c>
      <c r="J20" s="3" t="s">
        <v>150</v>
      </c>
      <c r="K20" s="3" t="s">
        <v>105</v>
      </c>
      <c r="L20" s="3" t="s">
        <v>106</v>
      </c>
      <c r="M20" s="7">
        <v>0.75</v>
      </c>
      <c r="N20" s="7">
        <v>3.8</v>
      </c>
      <c r="O20" s="7">
        <v>95</v>
      </c>
      <c r="P20" s="7">
        <v>1.8</v>
      </c>
      <c r="Q20" s="7"/>
      <c r="R20" s="7"/>
      <c r="S20" s="3" t="s">
        <v>143</v>
      </c>
      <c r="T20" s="3" t="s">
        <v>211</v>
      </c>
      <c r="U20" s="3" t="s">
        <v>109</v>
      </c>
      <c r="V20" s="3" t="s">
        <v>109</v>
      </c>
      <c r="W20" s="3" t="s">
        <v>110</v>
      </c>
      <c r="X20" s="7"/>
      <c r="Y20" s="3" t="s">
        <v>111</v>
      </c>
      <c r="Z20" s="3" t="s">
        <v>112</v>
      </c>
      <c r="AA20" s="3" t="s">
        <v>212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28.5">
      <c r="A21" s="3" t="s">
        <v>213</v>
      </c>
      <c r="B21" s="3" t="s">
        <v>96</v>
      </c>
      <c r="C21" s="3" t="s">
        <v>97</v>
      </c>
      <c r="D21" s="3" t="s">
        <v>98</v>
      </c>
      <c r="E21" s="3" t="s">
        <v>171</v>
      </c>
      <c r="F21" s="3" t="s">
        <v>214</v>
      </c>
      <c r="G21" s="3" t="s">
        <v>215</v>
      </c>
      <c r="H21" s="3" t="s">
        <v>102</v>
      </c>
      <c r="I21" s="3" t="s">
        <v>103</v>
      </c>
      <c r="J21" s="3" t="s">
        <v>150</v>
      </c>
      <c r="K21" s="3" t="s">
        <v>105</v>
      </c>
      <c r="L21" s="3" t="s">
        <v>106</v>
      </c>
      <c r="M21" s="7">
        <v>1.1000000000000001</v>
      </c>
      <c r="N21" s="7">
        <v>3.8</v>
      </c>
      <c r="O21" s="7">
        <v>125</v>
      </c>
      <c r="P21" s="7">
        <v>2.1</v>
      </c>
      <c r="Q21" s="7"/>
      <c r="R21" s="7"/>
      <c r="S21" s="3" t="s">
        <v>190</v>
      </c>
      <c r="T21" s="3" t="s">
        <v>216</v>
      </c>
      <c r="U21" s="3" t="s">
        <v>109</v>
      </c>
      <c r="V21" s="3" t="s">
        <v>109</v>
      </c>
      <c r="W21" s="3" t="s">
        <v>110</v>
      </c>
      <c r="X21" s="7"/>
      <c r="Y21" s="3" t="s">
        <v>111</v>
      </c>
      <c r="Z21" s="3" t="s">
        <v>112</v>
      </c>
      <c r="AA21" s="3" t="s">
        <v>217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28.5">
      <c r="A22" s="3" t="s">
        <v>218</v>
      </c>
      <c r="B22" s="3" t="s">
        <v>96</v>
      </c>
      <c r="C22" s="3" t="s">
        <v>97</v>
      </c>
      <c r="D22" s="3" t="s">
        <v>98</v>
      </c>
      <c r="E22" s="3" t="s">
        <v>171</v>
      </c>
      <c r="F22" s="3" t="s">
        <v>219</v>
      </c>
      <c r="G22" s="3" t="s">
        <v>220</v>
      </c>
      <c r="H22" s="3" t="s">
        <v>102</v>
      </c>
      <c r="I22" s="3" t="s">
        <v>103</v>
      </c>
      <c r="J22" s="3" t="s">
        <v>150</v>
      </c>
      <c r="K22" s="3" t="s">
        <v>105</v>
      </c>
      <c r="L22" s="3" t="s">
        <v>106</v>
      </c>
      <c r="M22" s="7">
        <v>1.3</v>
      </c>
      <c r="N22" s="7">
        <v>3.8</v>
      </c>
      <c r="O22" s="7">
        <v>155</v>
      </c>
      <c r="P22" s="7">
        <v>2.1</v>
      </c>
      <c r="Q22" s="7"/>
      <c r="R22" s="7"/>
      <c r="S22" s="3" t="s">
        <v>221</v>
      </c>
      <c r="T22" s="3" t="s">
        <v>222</v>
      </c>
      <c r="U22" s="3" t="s">
        <v>109</v>
      </c>
      <c r="V22" s="3" t="s">
        <v>109</v>
      </c>
      <c r="W22" s="3" t="s">
        <v>110</v>
      </c>
      <c r="X22" s="7"/>
      <c r="Y22" s="3" t="s">
        <v>111</v>
      </c>
      <c r="Z22" s="3" t="s">
        <v>112</v>
      </c>
      <c r="AA22" s="3" t="s">
        <v>223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28.5">
      <c r="A23" s="3" t="s">
        <v>224</v>
      </c>
      <c r="B23" s="3" t="s">
        <v>96</v>
      </c>
      <c r="C23" s="3" t="s">
        <v>97</v>
      </c>
      <c r="D23" s="3" t="s">
        <v>98</v>
      </c>
      <c r="E23" s="3" t="s">
        <v>171</v>
      </c>
      <c r="F23" s="3" t="s">
        <v>225</v>
      </c>
      <c r="G23" s="3" t="s">
        <v>226</v>
      </c>
      <c r="H23" s="3" t="s">
        <v>102</v>
      </c>
      <c r="I23" s="3" t="s">
        <v>103</v>
      </c>
      <c r="J23" s="3" t="s">
        <v>150</v>
      </c>
      <c r="K23" s="3" t="s">
        <v>105</v>
      </c>
      <c r="L23" s="3" t="s">
        <v>106</v>
      </c>
      <c r="M23" s="7">
        <v>1.5</v>
      </c>
      <c r="N23" s="7">
        <v>3.8</v>
      </c>
      <c r="O23" s="7">
        <v>180</v>
      </c>
      <c r="P23" s="7">
        <v>2.1</v>
      </c>
      <c r="Q23" s="7"/>
      <c r="R23" s="7"/>
      <c r="S23" s="3" t="s">
        <v>227</v>
      </c>
      <c r="T23" s="3" t="s">
        <v>228</v>
      </c>
      <c r="U23" s="3" t="s">
        <v>109</v>
      </c>
      <c r="V23" s="3" t="s">
        <v>109</v>
      </c>
      <c r="W23" s="3" t="s">
        <v>110</v>
      </c>
      <c r="X23" s="7"/>
      <c r="Y23" s="3" t="s">
        <v>111</v>
      </c>
      <c r="Z23" s="3" t="s">
        <v>112</v>
      </c>
      <c r="AA23" s="3" t="s">
        <v>229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28.5">
      <c r="A24" s="3" t="s">
        <v>230</v>
      </c>
      <c r="B24" s="3" t="s">
        <v>96</v>
      </c>
      <c r="C24" s="3" t="s">
        <v>97</v>
      </c>
      <c r="D24" s="3" t="s">
        <v>98</v>
      </c>
      <c r="E24" s="3" t="s">
        <v>171</v>
      </c>
      <c r="F24" s="3" t="s">
        <v>231</v>
      </c>
      <c r="G24" s="3" t="s">
        <v>232</v>
      </c>
      <c r="H24" s="3" t="s">
        <v>102</v>
      </c>
      <c r="I24" s="3" t="s">
        <v>103</v>
      </c>
      <c r="J24" s="3" t="s">
        <v>150</v>
      </c>
      <c r="K24" s="3" t="s">
        <v>105</v>
      </c>
      <c r="L24" s="3" t="s">
        <v>106</v>
      </c>
      <c r="M24" s="7">
        <v>0.6</v>
      </c>
      <c r="N24" s="7">
        <v>6</v>
      </c>
      <c r="O24" s="7">
        <v>45</v>
      </c>
      <c r="P24" s="7">
        <v>2.5</v>
      </c>
      <c r="Q24" s="7"/>
      <c r="R24" s="7"/>
      <c r="S24" s="3" t="s">
        <v>179</v>
      </c>
      <c r="T24" s="3" t="s">
        <v>233</v>
      </c>
      <c r="U24" s="3" t="s">
        <v>109</v>
      </c>
      <c r="V24" s="3" t="s">
        <v>109</v>
      </c>
      <c r="W24" s="3" t="s">
        <v>110</v>
      </c>
      <c r="X24" s="7"/>
      <c r="Y24" s="3" t="s">
        <v>111</v>
      </c>
      <c r="Z24" s="3" t="s">
        <v>112</v>
      </c>
      <c r="AA24" s="3" t="s">
        <v>234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28.5">
      <c r="A25" s="3" t="s">
        <v>235</v>
      </c>
      <c r="B25" s="3" t="s">
        <v>96</v>
      </c>
      <c r="C25" s="3" t="s">
        <v>97</v>
      </c>
      <c r="D25" s="3" t="s">
        <v>98</v>
      </c>
      <c r="E25" s="3" t="s">
        <v>171</v>
      </c>
      <c r="F25" s="3" t="s">
        <v>236</v>
      </c>
      <c r="G25" s="3" t="s">
        <v>237</v>
      </c>
      <c r="H25" s="3" t="s">
        <v>102</v>
      </c>
      <c r="I25" s="3" t="s">
        <v>103</v>
      </c>
      <c r="J25" s="3" t="s">
        <v>150</v>
      </c>
      <c r="K25" s="3" t="s">
        <v>105</v>
      </c>
      <c r="L25" s="3" t="s">
        <v>106</v>
      </c>
      <c r="M25" s="7">
        <v>0.75</v>
      </c>
      <c r="N25" s="7">
        <v>6</v>
      </c>
      <c r="O25" s="7">
        <v>60</v>
      </c>
      <c r="P25" s="7">
        <v>2.5</v>
      </c>
      <c r="Q25" s="7"/>
      <c r="R25" s="7"/>
      <c r="S25" s="3" t="s">
        <v>143</v>
      </c>
      <c r="T25" s="3" t="s">
        <v>238</v>
      </c>
      <c r="U25" s="3" t="s">
        <v>109</v>
      </c>
      <c r="V25" s="3" t="s">
        <v>109</v>
      </c>
      <c r="W25" s="3" t="s">
        <v>110</v>
      </c>
      <c r="X25" s="7"/>
      <c r="Y25" s="3" t="s">
        <v>111</v>
      </c>
      <c r="Z25" s="3" t="s">
        <v>112</v>
      </c>
      <c r="AA25" s="3" t="s">
        <v>239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28.5">
      <c r="A26" s="3" t="s">
        <v>240</v>
      </c>
      <c r="B26" s="3" t="s">
        <v>96</v>
      </c>
      <c r="C26" s="3" t="s">
        <v>97</v>
      </c>
      <c r="D26" s="3" t="s">
        <v>98</v>
      </c>
      <c r="E26" s="3" t="s">
        <v>171</v>
      </c>
      <c r="F26" s="3" t="s">
        <v>241</v>
      </c>
      <c r="G26" s="3" t="s">
        <v>242</v>
      </c>
      <c r="H26" s="3" t="s">
        <v>102</v>
      </c>
      <c r="I26" s="3" t="s">
        <v>103</v>
      </c>
      <c r="J26" s="3" t="s">
        <v>150</v>
      </c>
      <c r="K26" s="3" t="s">
        <v>105</v>
      </c>
      <c r="L26" s="3" t="s">
        <v>106</v>
      </c>
      <c r="M26" s="7">
        <v>1.1000000000000001</v>
      </c>
      <c r="N26" s="7">
        <v>6</v>
      </c>
      <c r="O26" s="7">
        <v>85</v>
      </c>
      <c r="P26" s="7">
        <v>2.5</v>
      </c>
      <c r="Q26" s="7"/>
      <c r="R26" s="7"/>
      <c r="S26" s="3" t="s">
        <v>190</v>
      </c>
      <c r="T26" s="3" t="s">
        <v>243</v>
      </c>
      <c r="U26" s="3" t="s">
        <v>109</v>
      </c>
      <c r="V26" s="3" t="s">
        <v>109</v>
      </c>
      <c r="W26" s="3" t="s">
        <v>110</v>
      </c>
      <c r="X26" s="7"/>
      <c r="Y26" s="3" t="s">
        <v>111</v>
      </c>
      <c r="Z26" s="3" t="s">
        <v>112</v>
      </c>
      <c r="AA26" s="3" t="s">
        <v>244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3" t="s">
        <v>245</v>
      </c>
      <c r="B27" s="3" t="s">
        <v>96</v>
      </c>
      <c r="C27" s="3" t="s">
        <v>97</v>
      </c>
      <c r="D27" s="3" t="s">
        <v>246</v>
      </c>
      <c r="E27" s="3" t="s">
        <v>247</v>
      </c>
      <c r="F27" s="3" t="s">
        <v>248</v>
      </c>
      <c r="G27" s="3" t="s">
        <v>249</v>
      </c>
      <c r="H27" s="3" t="s">
        <v>250</v>
      </c>
      <c r="I27" s="3" t="s">
        <v>250</v>
      </c>
      <c r="J27" s="3" t="s">
        <v>251</v>
      </c>
      <c r="K27" s="3" t="s">
        <v>252</v>
      </c>
      <c r="L27" s="3" t="s">
        <v>106</v>
      </c>
      <c r="M27" s="7">
        <v>0.27</v>
      </c>
      <c r="N27" s="7">
        <v>1.5</v>
      </c>
      <c r="O27" s="7">
        <v>34</v>
      </c>
      <c r="P27" s="7">
        <v>1</v>
      </c>
      <c r="Q27" s="7"/>
      <c r="R27" s="7"/>
      <c r="S27" s="3" t="s">
        <v>253</v>
      </c>
      <c r="T27" s="3" t="s">
        <v>254</v>
      </c>
      <c r="U27" s="3" t="s">
        <v>110</v>
      </c>
      <c r="V27" s="3" t="s">
        <v>109</v>
      </c>
      <c r="W27" s="3" t="s">
        <v>110</v>
      </c>
      <c r="X27" s="7"/>
      <c r="Y27" s="3" t="s">
        <v>255</v>
      </c>
      <c r="Z27" s="3" t="s">
        <v>112</v>
      </c>
      <c r="AA27" s="3" t="s">
        <v>256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3" t="s">
        <v>257</v>
      </c>
      <c r="B28" s="3" t="s">
        <v>96</v>
      </c>
      <c r="C28" s="3" t="s">
        <v>97</v>
      </c>
      <c r="D28" s="3" t="s">
        <v>246</v>
      </c>
      <c r="E28" s="3" t="s">
        <v>247</v>
      </c>
      <c r="F28" s="3" t="s">
        <v>258</v>
      </c>
      <c r="G28" s="3" t="s">
        <v>259</v>
      </c>
      <c r="H28" s="3" t="s">
        <v>250</v>
      </c>
      <c r="I28" s="3" t="s">
        <v>250</v>
      </c>
      <c r="J28" s="3" t="s">
        <v>251</v>
      </c>
      <c r="K28" s="3" t="s">
        <v>252</v>
      </c>
      <c r="L28" s="3" t="s">
        <v>106</v>
      </c>
      <c r="M28" s="7">
        <v>0.54</v>
      </c>
      <c r="N28" s="7">
        <v>2.5</v>
      </c>
      <c r="O28" s="7">
        <v>51</v>
      </c>
      <c r="P28" s="7">
        <v>1.5</v>
      </c>
      <c r="Q28" s="7"/>
      <c r="R28" s="7"/>
      <c r="S28" s="3" t="s">
        <v>260</v>
      </c>
      <c r="T28" s="3" t="s">
        <v>261</v>
      </c>
      <c r="U28" s="3" t="s">
        <v>110</v>
      </c>
      <c r="V28" s="3" t="s">
        <v>109</v>
      </c>
      <c r="W28" s="3" t="s">
        <v>110</v>
      </c>
      <c r="X28" s="7"/>
      <c r="Y28" s="3" t="s">
        <v>255</v>
      </c>
      <c r="Z28" s="3" t="s">
        <v>112</v>
      </c>
      <c r="AA28" s="3" t="s">
        <v>262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28.5">
      <c r="A29" s="3" t="s">
        <v>263</v>
      </c>
      <c r="B29" s="3" t="s">
        <v>96</v>
      </c>
      <c r="C29" s="3" t="s">
        <v>97</v>
      </c>
      <c r="D29" s="3" t="s">
        <v>246</v>
      </c>
      <c r="E29" s="3" t="s">
        <v>264</v>
      </c>
      <c r="F29" s="3" t="s">
        <v>265</v>
      </c>
      <c r="G29" s="3" t="s">
        <v>266</v>
      </c>
      <c r="H29" s="3" t="s">
        <v>250</v>
      </c>
      <c r="I29" s="3" t="s">
        <v>250</v>
      </c>
      <c r="J29" s="3" t="s">
        <v>251</v>
      </c>
      <c r="K29" s="3" t="s">
        <v>105</v>
      </c>
      <c r="L29" s="3" t="s">
        <v>106</v>
      </c>
      <c r="M29" s="7">
        <v>0.21</v>
      </c>
      <c r="N29" s="7">
        <v>2</v>
      </c>
      <c r="O29" s="7">
        <v>25</v>
      </c>
      <c r="P29" s="7">
        <v>1</v>
      </c>
      <c r="Q29" s="7"/>
      <c r="R29" s="7"/>
      <c r="S29" s="3" t="s">
        <v>117</v>
      </c>
      <c r="T29" s="3" t="s">
        <v>267</v>
      </c>
      <c r="U29" s="3" t="s">
        <v>110</v>
      </c>
      <c r="V29" s="3" t="s">
        <v>109</v>
      </c>
      <c r="W29" s="3" t="s">
        <v>110</v>
      </c>
      <c r="X29" s="7"/>
      <c r="Y29" s="3" t="s">
        <v>255</v>
      </c>
      <c r="Z29" s="3" t="s">
        <v>112</v>
      </c>
      <c r="AA29" s="3" t="s">
        <v>268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28.5">
      <c r="A30" s="3" t="s">
        <v>269</v>
      </c>
      <c r="B30" s="3" t="s">
        <v>96</v>
      </c>
      <c r="C30" s="3" t="s">
        <v>97</v>
      </c>
      <c r="D30" s="3" t="s">
        <v>246</v>
      </c>
      <c r="E30" s="3" t="s">
        <v>264</v>
      </c>
      <c r="F30" s="3" t="s">
        <v>270</v>
      </c>
      <c r="G30" s="3" t="s">
        <v>271</v>
      </c>
      <c r="H30" s="3" t="s">
        <v>250</v>
      </c>
      <c r="I30" s="3" t="s">
        <v>250</v>
      </c>
      <c r="J30" s="3" t="s">
        <v>251</v>
      </c>
      <c r="K30" s="3" t="s">
        <v>105</v>
      </c>
      <c r="L30" s="3" t="s">
        <v>106</v>
      </c>
      <c r="M30" s="7">
        <v>0.28000000000000003</v>
      </c>
      <c r="N30" s="7">
        <v>2</v>
      </c>
      <c r="O30" s="7">
        <v>30</v>
      </c>
      <c r="P30" s="7">
        <v>1</v>
      </c>
      <c r="Q30" s="7"/>
      <c r="R30" s="7"/>
      <c r="S30" s="3" t="s">
        <v>272</v>
      </c>
      <c r="T30" s="3" t="s">
        <v>273</v>
      </c>
      <c r="U30" s="3" t="s">
        <v>110</v>
      </c>
      <c r="V30" s="3" t="s">
        <v>109</v>
      </c>
      <c r="W30" s="3" t="s">
        <v>110</v>
      </c>
      <c r="X30" s="7"/>
      <c r="Y30" s="3" t="s">
        <v>255</v>
      </c>
      <c r="Z30" s="3" t="s">
        <v>112</v>
      </c>
      <c r="AA30" s="3" t="s">
        <v>268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28.5">
      <c r="A31" s="3" t="s">
        <v>274</v>
      </c>
      <c r="B31" s="3" t="s">
        <v>96</v>
      </c>
      <c r="C31" s="3" t="s">
        <v>97</v>
      </c>
      <c r="D31" s="3" t="s">
        <v>246</v>
      </c>
      <c r="E31" s="3" t="s">
        <v>264</v>
      </c>
      <c r="F31" s="3" t="s">
        <v>275</v>
      </c>
      <c r="G31" s="3" t="s">
        <v>276</v>
      </c>
      <c r="H31" s="3" t="s">
        <v>250</v>
      </c>
      <c r="I31" s="3" t="s">
        <v>250</v>
      </c>
      <c r="J31" s="3" t="s">
        <v>251</v>
      </c>
      <c r="K31" s="3" t="s">
        <v>105</v>
      </c>
      <c r="L31" s="3" t="s">
        <v>106</v>
      </c>
      <c r="M31" s="7">
        <v>0.55000000000000004</v>
      </c>
      <c r="N31" s="7">
        <v>3</v>
      </c>
      <c r="O31" s="7">
        <v>50</v>
      </c>
      <c r="P31" s="7">
        <v>1.5</v>
      </c>
      <c r="Q31" s="7"/>
      <c r="R31" s="7"/>
      <c r="S31" s="3" t="s">
        <v>277</v>
      </c>
      <c r="T31" s="3" t="s">
        <v>278</v>
      </c>
      <c r="U31" s="3" t="s">
        <v>110</v>
      </c>
      <c r="V31" s="3" t="s">
        <v>109</v>
      </c>
      <c r="W31" s="3" t="s">
        <v>110</v>
      </c>
      <c r="X31" s="7"/>
      <c r="Y31" s="3" t="s">
        <v>255</v>
      </c>
      <c r="Z31" s="3" t="s">
        <v>112</v>
      </c>
      <c r="AA31" s="3" t="s">
        <v>279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28.5">
      <c r="A32" s="3" t="s">
        <v>280</v>
      </c>
      <c r="B32" s="3" t="s">
        <v>96</v>
      </c>
      <c r="C32" s="3" t="s">
        <v>97</v>
      </c>
      <c r="D32" s="3" t="s">
        <v>246</v>
      </c>
      <c r="E32" s="3" t="s">
        <v>264</v>
      </c>
      <c r="F32" s="3" t="s">
        <v>281</v>
      </c>
      <c r="G32" s="3" t="s">
        <v>282</v>
      </c>
      <c r="H32" s="3" t="s">
        <v>250</v>
      </c>
      <c r="I32" s="3" t="s">
        <v>250</v>
      </c>
      <c r="J32" s="3" t="s">
        <v>251</v>
      </c>
      <c r="K32" s="3" t="s">
        <v>105</v>
      </c>
      <c r="L32" s="3" t="s">
        <v>106</v>
      </c>
      <c r="M32" s="7">
        <v>0.75</v>
      </c>
      <c r="N32" s="7">
        <v>3</v>
      </c>
      <c r="O32" s="7">
        <v>65</v>
      </c>
      <c r="P32" s="7">
        <v>1.5</v>
      </c>
      <c r="Q32" s="7"/>
      <c r="R32" s="7"/>
      <c r="S32" s="3" t="s">
        <v>143</v>
      </c>
      <c r="T32" s="3" t="s">
        <v>283</v>
      </c>
      <c r="U32" s="3" t="s">
        <v>110</v>
      </c>
      <c r="V32" s="3" t="s">
        <v>109</v>
      </c>
      <c r="W32" s="3" t="s">
        <v>110</v>
      </c>
      <c r="X32" s="7"/>
      <c r="Y32" s="3" t="s">
        <v>255</v>
      </c>
      <c r="Z32" s="3" t="s">
        <v>112</v>
      </c>
      <c r="AA32" s="3" t="s">
        <v>279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28.5">
      <c r="A33" s="3" t="s">
        <v>284</v>
      </c>
      <c r="B33" s="3" t="s">
        <v>96</v>
      </c>
      <c r="C33" s="3" t="s">
        <v>97</v>
      </c>
      <c r="D33" s="3" t="s">
        <v>246</v>
      </c>
      <c r="E33" s="3" t="s">
        <v>264</v>
      </c>
      <c r="F33" s="3" t="s">
        <v>285</v>
      </c>
      <c r="G33" s="3" t="s">
        <v>286</v>
      </c>
      <c r="H33" s="3" t="s">
        <v>250</v>
      </c>
      <c r="I33" s="3" t="s">
        <v>250</v>
      </c>
      <c r="J33" s="3" t="s">
        <v>251</v>
      </c>
      <c r="K33" s="3" t="s">
        <v>105</v>
      </c>
      <c r="L33" s="3" t="s">
        <v>106</v>
      </c>
      <c r="M33" s="7">
        <v>0.75</v>
      </c>
      <c r="N33" s="7">
        <v>3</v>
      </c>
      <c r="O33" s="7">
        <v>65</v>
      </c>
      <c r="P33" s="7">
        <v>1.5</v>
      </c>
      <c r="Q33" s="7"/>
      <c r="R33" s="7"/>
      <c r="S33" s="3" t="s">
        <v>143</v>
      </c>
      <c r="T33" s="3" t="s">
        <v>287</v>
      </c>
      <c r="U33" s="3" t="s">
        <v>110</v>
      </c>
      <c r="V33" s="3" t="s">
        <v>109</v>
      </c>
      <c r="W33" s="3" t="s">
        <v>110</v>
      </c>
      <c r="X33" s="7"/>
      <c r="Y33" s="3" t="s">
        <v>255</v>
      </c>
      <c r="Z33" s="3" t="s">
        <v>112</v>
      </c>
      <c r="AA33" s="3" t="s">
        <v>288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28.5">
      <c r="A34" s="3" t="s">
        <v>289</v>
      </c>
      <c r="B34" s="3" t="s">
        <v>96</v>
      </c>
      <c r="C34" s="3" t="s">
        <v>97</v>
      </c>
      <c r="D34" s="3" t="s">
        <v>246</v>
      </c>
      <c r="E34" s="3" t="s">
        <v>264</v>
      </c>
      <c r="F34" s="3" t="s">
        <v>290</v>
      </c>
      <c r="G34" s="3" t="s">
        <v>291</v>
      </c>
      <c r="H34" s="3" t="s">
        <v>250</v>
      </c>
      <c r="I34" s="3" t="s">
        <v>250</v>
      </c>
      <c r="J34" s="3" t="s">
        <v>251</v>
      </c>
      <c r="K34" s="3" t="s">
        <v>292</v>
      </c>
      <c r="L34" s="3" t="s">
        <v>106</v>
      </c>
      <c r="M34" s="7">
        <v>0.75</v>
      </c>
      <c r="N34" s="7">
        <v>3</v>
      </c>
      <c r="O34" s="7">
        <v>65</v>
      </c>
      <c r="P34" s="7">
        <v>1.5</v>
      </c>
      <c r="Q34" s="7"/>
      <c r="R34" s="7"/>
      <c r="S34" s="3" t="s">
        <v>293</v>
      </c>
      <c r="T34" s="3" t="s">
        <v>294</v>
      </c>
      <c r="U34" s="3" t="s">
        <v>110</v>
      </c>
      <c r="V34" s="3" t="s">
        <v>109</v>
      </c>
      <c r="W34" s="3" t="s">
        <v>110</v>
      </c>
      <c r="X34" s="7"/>
      <c r="Y34" s="3" t="s">
        <v>255</v>
      </c>
      <c r="Z34" s="3" t="s">
        <v>112</v>
      </c>
      <c r="AA34" s="3" t="s">
        <v>295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3" t="s">
        <v>296</v>
      </c>
      <c r="B35" s="3" t="s">
        <v>96</v>
      </c>
      <c r="C35" s="3" t="s">
        <v>97</v>
      </c>
      <c r="D35" s="3" t="s">
        <v>246</v>
      </c>
      <c r="E35" s="3" t="s">
        <v>297</v>
      </c>
      <c r="F35" s="3" t="s">
        <v>298</v>
      </c>
      <c r="G35" s="3" t="s">
        <v>299</v>
      </c>
      <c r="H35" s="3" t="s">
        <v>250</v>
      </c>
      <c r="I35" s="3" t="s">
        <v>250</v>
      </c>
      <c r="J35" s="3" t="s">
        <v>300</v>
      </c>
      <c r="K35" s="3" t="s">
        <v>252</v>
      </c>
      <c r="L35" s="3" t="s">
        <v>106</v>
      </c>
      <c r="M35" s="7">
        <v>0.56999999999999995</v>
      </c>
      <c r="N35" s="7">
        <v>2.4</v>
      </c>
      <c r="O35" s="7">
        <v>41</v>
      </c>
      <c r="P35" s="7">
        <v>2</v>
      </c>
      <c r="Q35" s="7"/>
      <c r="R35" s="7"/>
      <c r="S35" s="3" t="s">
        <v>301</v>
      </c>
      <c r="T35" s="3" t="s">
        <v>302</v>
      </c>
      <c r="U35" s="3" t="s">
        <v>110</v>
      </c>
      <c r="V35" s="3" t="s">
        <v>109</v>
      </c>
      <c r="W35" s="3" t="s">
        <v>110</v>
      </c>
      <c r="X35" s="7"/>
      <c r="Y35" s="3" t="s">
        <v>255</v>
      </c>
      <c r="Z35" s="3" t="s">
        <v>112</v>
      </c>
      <c r="AA35" s="3" t="s">
        <v>303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3" t="s">
        <v>304</v>
      </c>
      <c r="B36" s="3" t="s">
        <v>96</v>
      </c>
      <c r="C36" s="3" t="s">
        <v>97</v>
      </c>
      <c r="D36" s="3" t="s">
        <v>246</v>
      </c>
      <c r="E36" s="3" t="s">
        <v>305</v>
      </c>
      <c r="F36" s="3" t="s">
        <v>306</v>
      </c>
      <c r="G36" s="3" t="s">
        <v>307</v>
      </c>
      <c r="H36" s="3" t="s">
        <v>250</v>
      </c>
      <c r="I36" s="3" t="s">
        <v>308</v>
      </c>
      <c r="J36" s="3" t="s">
        <v>300</v>
      </c>
      <c r="K36" s="3" t="s">
        <v>252</v>
      </c>
      <c r="L36" s="3" t="s">
        <v>106</v>
      </c>
      <c r="M36" s="7">
        <v>0.1</v>
      </c>
      <c r="N36" s="7">
        <v>2.7</v>
      </c>
      <c r="O36" s="7">
        <v>10</v>
      </c>
      <c r="P36" s="7">
        <v>1.3</v>
      </c>
      <c r="Q36" s="7"/>
      <c r="R36" s="7"/>
      <c r="S36" s="3" t="s">
        <v>309</v>
      </c>
      <c r="T36" s="3" t="s">
        <v>310</v>
      </c>
      <c r="U36" s="3" t="s">
        <v>110</v>
      </c>
      <c r="V36" s="3" t="s">
        <v>109</v>
      </c>
      <c r="W36" s="3" t="s">
        <v>110</v>
      </c>
      <c r="X36" s="7"/>
      <c r="Y36" s="3" t="s">
        <v>255</v>
      </c>
      <c r="Z36" s="3" t="s">
        <v>112</v>
      </c>
      <c r="AA36" s="3" t="s">
        <v>311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3" t="s">
        <v>312</v>
      </c>
      <c r="B37" s="3" t="s">
        <v>96</v>
      </c>
      <c r="C37" s="3" t="s">
        <v>97</v>
      </c>
      <c r="D37" s="3" t="s">
        <v>246</v>
      </c>
      <c r="E37" s="3" t="s">
        <v>305</v>
      </c>
      <c r="F37" s="3" t="s">
        <v>313</v>
      </c>
      <c r="G37" s="3" t="s">
        <v>314</v>
      </c>
      <c r="H37" s="3" t="s">
        <v>250</v>
      </c>
      <c r="I37" s="3" t="s">
        <v>308</v>
      </c>
      <c r="J37" s="3" t="s">
        <v>300</v>
      </c>
      <c r="K37" s="3" t="s">
        <v>252</v>
      </c>
      <c r="L37" s="3" t="s">
        <v>106</v>
      </c>
      <c r="M37" s="7">
        <v>0.2</v>
      </c>
      <c r="N37" s="7">
        <v>3.3</v>
      </c>
      <c r="O37" s="7">
        <v>17</v>
      </c>
      <c r="P37" s="7">
        <v>1.6</v>
      </c>
      <c r="Q37" s="7"/>
      <c r="R37" s="7"/>
      <c r="S37" s="3" t="s">
        <v>315</v>
      </c>
      <c r="T37" s="3" t="s">
        <v>316</v>
      </c>
      <c r="U37" s="3" t="s">
        <v>110</v>
      </c>
      <c r="V37" s="3" t="s">
        <v>109</v>
      </c>
      <c r="W37" s="3" t="s">
        <v>110</v>
      </c>
      <c r="X37" s="7"/>
      <c r="Y37" s="3" t="s">
        <v>255</v>
      </c>
      <c r="Z37" s="3" t="s">
        <v>112</v>
      </c>
      <c r="AA37" s="3" t="s">
        <v>317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3" t="s">
        <v>318</v>
      </c>
      <c r="B38" s="3" t="s">
        <v>96</v>
      </c>
      <c r="C38" s="3" t="s">
        <v>97</v>
      </c>
      <c r="D38" s="3" t="s">
        <v>246</v>
      </c>
      <c r="E38" s="3" t="s">
        <v>305</v>
      </c>
      <c r="F38" s="3" t="s">
        <v>319</v>
      </c>
      <c r="G38" s="3" t="s">
        <v>320</v>
      </c>
      <c r="H38" s="3" t="s">
        <v>250</v>
      </c>
      <c r="I38" s="3" t="s">
        <v>308</v>
      </c>
      <c r="J38" s="3" t="s">
        <v>300</v>
      </c>
      <c r="K38" s="3" t="s">
        <v>252</v>
      </c>
      <c r="L38" s="3" t="s">
        <v>106</v>
      </c>
      <c r="M38" s="7">
        <v>0.3</v>
      </c>
      <c r="N38" s="7">
        <v>3.3</v>
      </c>
      <c r="O38" s="7">
        <v>22</v>
      </c>
      <c r="P38" s="7">
        <v>1.6</v>
      </c>
      <c r="Q38" s="7"/>
      <c r="R38" s="7"/>
      <c r="S38" s="3" t="s">
        <v>321</v>
      </c>
      <c r="T38" s="3" t="s">
        <v>322</v>
      </c>
      <c r="U38" s="3" t="s">
        <v>110</v>
      </c>
      <c r="V38" s="3" t="s">
        <v>109</v>
      </c>
      <c r="W38" s="3" t="s">
        <v>110</v>
      </c>
      <c r="X38" s="7"/>
      <c r="Y38" s="3" t="s">
        <v>255</v>
      </c>
      <c r="Z38" s="3" t="s">
        <v>112</v>
      </c>
      <c r="AA38" s="3" t="s">
        <v>323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3" t="s">
        <v>324</v>
      </c>
      <c r="B39" s="3" t="s">
        <v>96</v>
      </c>
      <c r="C39" s="3" t="s">
        <v>97</v>
      </c>
      <c r="D39" s="3" t="s">
        <v>246</v>
      </c>
      <c r="E39" s="3" t="s">
        <v>305</v>
      </c>
      <c r="F39" s="3" t="s">
        <v>325</v>
      </c>
      <c r="G39" s="3" t="s">
        <v>326</v>
      </c>
      <c r="H39" s="3" t="s">
        <v>250</v>
      </c>
      <c r="I39" s="3" t="s">
        <v>308</v>
      </c>
      <c r="J39" s="3" t="s">
        <v>300</v>
      </c>
      <c r="K39" s="3" t="s">
        <v>252</v>
      </c>
      <c r="L39" s="3" t="s">
        <v>106</v>
      </c>
      <c r="M39" s="7">
        <v>0.5</v>
      </c>
      <c r="N39" s="7">
        <v>3.3</v>
      </c>
      <c r="O39" s="7">
        <v>38</v>
      </c>
      <c r="P39" s="7">
        <v>1.6</v>
      </c>
      <c r="Q39" s="7"/>
      <c r="R39" s="7"/>
      <c r="S39" s="3" t="s">
        <v>327</v>
      </c>
      <c r="T39" s="3" t="s">
        <v>328</v>
      </c>
      <c r="U39" s="3" t="s">
        <v>110</v>
      </c>
      <c r="V39" s="3" t="s">
        <v>109</v>
      </c>
      <c r="W39" s="3" t="s">
        <v>110</v>
      </c>
      <c r="X39" s="7"/>
      <c r="Y39" s="3" t="s">
        <v>255</v>
      </c>
      <c r="Z39" s="3" t="s">
        <v>112</v>
      </c>
      <c r="AA39" s="3" t="s">
        <v>329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42.75">
      <c r="A40" s="3" t="s">
        <v>330</v>
      </c>
      <c r="B40" s="3" t="s">
        <v>96</v>
      </c>
      <c r="C40" s="3" t="s">
        <v>331</v>
      </c>
      <c r="D40" s="3" t="s">
        <v>332</v>
      </c>
      <c r="E40" s="3" t="s">
        <v>333</v>
      </c>
      <c r="F40" s="3" t="s">
        <v>334</v>
      </c>
      <c r="G40" s="3" t="s">
        <v>335</v>
      </c>
      <c r="H40" s="3" t="s">
        <v>102</v>
      </c>
      <c r="I40" s="3" t="s">
        <v>103</v>
      </c>
      <c r="J40" s="3" t="s">
        <v>150</v>
      </c>
      <c r="K40" s="3" t="s">
        <v>105</v>
      </c>
      <c r="L40" s="3" t="s">
        <v>106</v>
      </c>
      <c r="M40" s="7"/>
      <c r="N40" s="7">
        <v>4</v>
      </c>
      <c r="O40" s="7">
        <v>20</v>
      </c>
      <c r="P40" s="7"/>
      <c r="Q40" s="7"/>
      <c r="R40" s="7"/>
      <c r="S40" s="3" t="s">
        <v>336</v>
      </c>
      <c r="T40" s="3" t="s">
        <v>337</v>
      </c>
      <c r="U40" s="3" t="s">
        <v>109</v>
      </c>
      <c r="V40" s="3" t="s">
        <v>109</v>
      </c>
      <c r="W40" s="3" t="s">
        <v>110</v>
      </c>
      <c r="X40" s="7"/>
      <c r="Y40" s="3" t="s">
        <v>338</v>
      </c>
      <c r="Z40" s="3" t="s">
        <v>112</v>
      </c>
      <c r="AA40" s="3" t="s">
        <v>339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42.75">
      <c r="A41" s="3" t="s">
        <v>340</v>
      </c>
      <c r="B41" s="3" t="s">
        <v>96</v>
      </c>
      <c r="C41" s="3" t="s">
        <v>331</v>
      </c>
      <c r="D41" s="3" t="s">
        <v>332</v>
      </c>
      <c r="E41" s="3" t="s">
        <v>341</v>
      </c>
      <c r="F41" s="3" t="s">
        <v>342</v>
      </c>
      <c r="G41" s="3" t="s">
        <v>343</v>
      </c>
      <c r="H41" s="3" t="s">
        <v>102</v>
      </c>
      <c r="I41" s="3" t="s">
        <v>103</v>
      </c>
      <c r="J41" s="3" t="s">
        <v>344</v>
      </c>
      <c r="K41" s="3" t="s">
        <v>105</v>
      </c>
      <c r="L41" s="3" t="s">
        <v>106</v>
      </c>
      <c r="M41" s="7"/>
      <c r="N41" s="7">
        <v>2.6</v>
      </c>
      <c r="O41" s="7">
        <v>50</v>
      </c>
      <c r="P41" s="7"/>
      <c r="Q41" s="7"/>
      <c r="R41" s="7"/>
      <c r="S41" s="3" t="s">
        <v>345</v>
      </c>
      <c r="T41" s="3" t="s">
        <v>346</v>
      </c>
      <c r="U41" s="3" t="s">
        <v>109</v>
      </c>
      <c r="V41" s="3" t="s">
        <v>109</v>
      </c>
      <c r="W41" s="3" t="s">
        <v>110</v>
      </c>
      <c r="X41" s="7"/>
      <c r="Y41" s="3" t="s">
        <v>347</v>
      </c>
      <c r="Z41" s="3" t="s">
        <v>112</v>
      </c>
      <c r="AA41" s="3" t="s">
        <v>348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42.75">
      <c r="A42" s="3" t="s">
        <v>349</v>
      </c>
      <c r="B42" s="3" t="s">
        <v>96</v>
      </c>
      <c r="C42" s="3" t="s">
        <v>331</v>
      </c>
      <c r="D42" s="3" t="s">
        <v>332</v>
      </c>
      <c r="E42" s="3" t="s">
        <v>341</v>
      </c>
      <c r="F42" s="3" t="s">
        <v>350</v>
      </c>
      <c r="G42" s="3" t="s">
        <v>351</v>
      </c>
      <c r="H42" s="3" t="s">
        <v>102</v>
      </c>
      <c r="I42" s="3" t="s">
        <v>103</v>
      </c>
      <c r="J42" s="3" t="s">
        <v>344</v>
      </c>
      <c r="K42" s="3" t="s">
        <v>105</v>
      </c>
      <c r="L42" s="3" t="s">
        <v>106</v>
      </c>
      <c r="M42" s="7"/>
      <c r="N42" s="7">
        <v>2.6</v>
      </c>
      <c r="O42" s="7">
        <v>180</v>
      </c>
      <c r="P42" s="7"/>
      <c r="Q42" s="7"/>
      <c r="R42" s="7"/>
      <c r="S42" s="3" t="s">
        <v>352</v>
      </c>
      <c r="T42" s="3" t="s">
        <v>353</v>
      </c>
      <c r="U42" s="3" t="s">
        <v>109</v>
      </c>
      <c r="V42" s="3" t="s">
        <v>109</v>
      </c>
      <c r="W42" s="3" t="s">
        <v>110</v>
      </c>
      <c r="X42" s="7"/>
      <c r="Y42" s="3" t="s">
        <v>347</v>
      </c>
      <c r="Z42" s="3" t="s">
        <v>112</v>
      </c>
      <c r="AA42" s="3" t="s">
        <v>354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42.75">
      <c r="A43" s="3" t="s">
        <v>355</v>
      </c>
      <c r="B43" s="3" t="s">
        <v>96</v>
      </c>
      <c r="C43" s="3" t="s">
        <v>331</v>
      </c>
      <c r="D43" s="3" t="s">
        <v>332</v>
      </c>
      <c r="E43" s="3" t="s">
        <v>356</v>
      </c>
      <c r="F43" s="3" t="s">
        <v>357</v>
      </c>
      <c r="G43" s="3" t="s">
        <v>358</v>
      </c>
      <c r="H43" s="3" t="s">
        <v>359</v>
      </c>
      <c r="I43" s="3" t="s">
        <v>250</v>
      </c>
      <c r="J43" s="3" t="s">
        <v>104</v>
      </c>
      <c r="K43" s="3" t="s">
        <v>105</v>
      </c>
      <c r="L43" s="3" t="s">
        <v>106</v>
      </c>
      <c r="M43" s="7"/>
      <c r="N43" s="7">
        <v>1.3</v>
      </c>
      <c r="O43" s="7">
        <v>150</v>
      </c>
      <c r="P43" s="7"/>
      <c r="Q43" s="7"/>
      <c r="R43" s="7"/>
      <c r="S43" s="3" t="s">
        <v>336</v>
      </c>
      <c r="T43" s="3" t="s">
        <v>360</v>
      </c>
      <c r="U43" s="3" t="s">
        <v>110</v>
      </c>
      <c r="V43" s="3" t="s">
        <v>109</v>
      </c>
      <c r="W43" s="3" t="s">
        <v>110</v>
      </c>
      <c r="X43" s="7"/>
      <c r="Y43" s="3" t="s">
        <v>361</v>
      </c>
      <c r="Z43" s="3" t="s">
        <v>112</v>
      </c>
      <c r="AA43" s="3" t="s">
        <v>362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42.75">
      <c r="A44" s="3" t="s">
        <v>363</v>
      </c>
      <c r="B44" s="3" t="s">
        <v>96</v>
      </c>
      <c r="C44" s="3" t="s">
        <v>331</v>
      </c>
      <c r="D44" s="3" t="s">
        <v>332</v>
      </c>
      <c r="E44" s="3" t="s">
        <v>356</v>
      </c>
      <c r="F44" s="3" t="s">
        <v>364</v>
      </c>
      <c r="G44" s="3" t="s">
        <v>365</v>
      </c>
      <c r="H44" s="3" t="s">
        <v>250</v>
      </c>
      <c r="I44" s="3" t="s">
        <v>250</v>
      </c>
      <c r="J44" s="3" t="s">
        <v>150</v>
      </c>
      <c r="K44" s="3" t="s">
        <v>105</v>
      </c>
      <c r="L44" s="3" t="s">
        <v>106</v>
      </c>
      <c r="M44" s="7"/>
      <c r="N44" s="7">
        <v>8.3000000000000007</v>
      </c>
      <c r="O44" s="7">
        <v>40</v>
      </c>
      <c r="P44" s="7"/>
      <c r="Q44" s="7"/>
      <c r="R44" s="7"/>
      <c r="S44" s="3" t="s">
        <v>366</v>
      </c>
      <c r="T44" s="3" t="s">
        <v>367</v>
      </c>
      <c r="U44" s="3" t="s">
        <v>110</v>
      </c>
      <c r="V44" s="3" t="s">
        <v>109</v>
      </c>
      <c r="W44" s="3" t="s">
        <v>110</v>
      </c>
      <c r="X44" s="7"/>
      <c r="Y44" s="3" t="s">
        <v>361</v>
      </c>
      <c r="Z44" s="3" t="s">
        <v>112</v>
      </c>
      <c r="AA44" s="3" t="s">
        <v>368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14">
      <c r="A45" s="3" t="s">
        <v>369</v>
      </c>
      <c r="B45" s="3" t="s">
        <v>96</v>
      </c>
      <c r="C45" s="3" t="s">
        <v>370</v>
      </c>
      <c r="D45" s="3" t="s">
        <v>371</v>
      </c>
      <c r="E45" s="3" t="s">
        <v>372</v>
      </c>
      <c r="F45" s="3" t="s">
        <v>373</v>
      </c>
      <c r="G45" s="3" t="s">
        <v>374</v>
      </c>
      <c r="H45" s="3" t="s">
        <v>102</v>
      </c>
      <c r="I45" s="3" t="s">
        <v>103</v>
      </c>
      <c r="J45" s="3" t="s">
        <v>150</v>
      </c>
      <c r="K45" s="3" t="s">
        <v>105</v>
      </c>
      <c r="L45" s="3" t="s">
        <v>106</v>
      </c>
      <c r="M45" s="7">
        <v>0.5</v>
      </c>
      <c r="N45" s="7">
        <v>3.8</v>
      </c>
      <c r="O45" s="7">
        <v>38</v>
      </c>
      <c r="P45" s="7"/>
      <c r="Q45" s="7"/>
      <c r="R45" s="7"/>
      <c r="S45" s="3" t="s">
        <v>375</v>
      </c>
      <c r="T45" s="3" t="s">
        <v>376</v>
      </c>
      <c r="U45" s="3" t="s">
        <v>109</v>
      </c>
      <c r="V45" s="3" t="s">
        <v>109</v>
      </c>
      <c r="W45" s="3" t="s">
        <v>110</v>
      </c>
      <c r="X45" s="7"/>
      <c r="Y45" s="3" t="s">
        <v>377</v>
      </c>
      <c r="Z45" s="3" t="s">
        <v>112</v>
      </c>
      <c r="AA45" s="3" t="s">
        <v>378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57">
      <c r="A46" s="3" t="s">
        <v>379</v>
      </c>
      <c r="B46" s="3" t="s">
        <v>96</v>
      </c>
      <c r="C46" s="3" t="s">
        <v>370</v>
      </c>
      <c r="D46" s="3" t="s">
        <v>371</v>
      </c>
      <c r="E46" s="3" t="s">
        <v>372</v>
      </c>
      <c r="F46" s="3" t="s">
        <v>380</v>
      </c>
      <c r="G46" s="3" t="s">
        <v>381</v>
      </c>
      <c r="H46" s="3" t="s">
        <v>102</v>
      </c>
      <c r="I46" s="3" t="s">
        <v>103</v>
      </c>
      <c r="J46" s="3" t="s">
        <v>150</v>
      </c>
      <c r="K46" s="3" t="s">
        <v>105</v>
      </c>
      <c r="L46" s="3" t="s">
        <v>106</v>
      </c>
      <c r="M46" s="7">
        <v>0.4</v>
      </c>
      <c r="N46" s="7">
        <v>4</v>
      </c>
      <c r="O46" s="7">
        <v>56</v>
      </c>
      <c r="P46" s="7"/>
      <c r="Q46" s="7"/>
      <c r="R46" s="7"/>
      <c r="S46" s="3" t="s">
        <v>382</v>
      </c>
      <c r="T46" s="3" t="s">
        <v>383</v>
      </c>
      <c r="U46" s="3" t="s">
        <v>109</v>
      </c>
      <c r="V46" s="3" t="s">
        <v>109</v>
      </c>
      <c r="W46" s="3" t="s">
        <v>110</v>
      </c>
      <c r="X46" s="7"/>
      <c r="Y46" s="3" t="s">
        <v>377</v>
      </c>
      <c r="Z46" s="3" t="s">
        <v>112</v>
      </c>
      <c r="AA46" s="3" t="s">
        <v>384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57">
      <c r="A47" s="3" t="s">
        <v>385</v>
      </c>
      <c r="B47" s="3" t="s">
        <v>96</v>
      </c>
      <c r="C47" s="3" t="s">
        <v>370</v>
      </c>
      <c r="D47" s="3" t="s">
        <v>371</v>
      </c>
      <c r="E47" s="3" t="s">
        <v>372</v>
      </c>
      <c r="F47" s="3" t="s">
        <v>386</v>
      </c>
      <c r="G47" s="3" t="s">
        <v>387</v>
      </c>
      <c r="H47" s="3" t="s">
        <v>102</v>
      </c>
      <c r="I47" s="3" t="s">
        <v>103</v>
      </c>
      <c r="J47" s="3" t="s">
        <v>150</v>
      </c>
      <c r="K47" s="3" t="s">
        <v>105</v>
      </c>
      <c r="L47" s="3" t="s">
        <v>106</v>
      </c>
      <c r="M47" s="7">
        <v>0.6</v>
      </c>
      <c r="N47" s="7">
        <v>4</v>
      </c>
      <c r="O47" s="7">
        <v>81</v>
      </c>
      <c r="P47" s="7"/>
      <c r="Q47" s="7"/>
      <c r="R47" s="7"/>
      <c r="S47" s="3" t="s">
        <v>388</v>
      </c>
      <c r="T47" s="3" t="s">
        <v>389</v>
      </c>
      <c r="U47" s="3" t="s">
        <v>109</v>
      </c>
      <c r="V47" s="3" t="s">
        <v>109</v>
      </c>
      <c r="W47" s="3" t="s">
        <v>110</v>
      </c>
      <c r="X47" s="7"/>
      <c r="Y47" s="3" t="s">
        <v>377</v>
      </c>
      <c r="Z47" s="3" t="s">
        <v>112</v>
      </c>
      <c r="AA47" s="3" t="s">
        <v>390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57">
      <c r="A48" s="3" t="s">
        <v>391</v>
      </c>
      <c r="B48" s="3" t="s">
        <v>96</v>
      </c>
      <c r="C48" s="3" t="s">
        <v>370</v>
      </c>
      <c r="D48" s="3" t="s">
        <v>371</v>
      </c>
      <c r="E48" s="3" t="s">
        <v>372</v>
      </c>
      <c r="F48" s="3" t="s">
        <v>392</v>
      </c>
      <c r="G48" s="3" t="s">
        <v>393</v>
      </c>
      <c r="H48" s="3" t="s">
        <v>102</v>
      </c>
      <c r="I48" s="3" t="s">
        <v>103</v>
      </c>
      <c r="J48" s="3" t="s">
        <v>150</v>
      </c>
      <c r="K48" s="3" t="s">
        <v>105</v>
      </c>
      <c r="L48" s="3" t="s">
        <v>106</v>
      </c>
      <c r="M48" s="7">
        <v>0.75</v>
      </c>
      <c r="N48" s="7">
        <v>4</v>
      </c>
      <c r="O48" s="7">
        <v>96</v>
      </c>
      <c r="P48" s="7"/>
      <c r="Q48" s="7"/>
      <c r="R48" s="7"/>
      <c r="S48" s="3" t="s">
        <v>394</v>
      </c>
      <c r="T48" s="3" t="s">
        <v>395</v>
      </c>
      <c r="U48" s="3" t="s">
        <v>109</v>
      </c>
      <c r="V48" s="3" t="s">
        <v>109</v>
      </c>
      <c r="W48" s="3" t="s">
        <v>110</v>
      </c>
      <c r="X48" s="7"/>
      <c r="Y48" s="3" t="s">
        <v>377</v>
      </c>
      <c r="Z48" s="3" t="s">
        <v>112</v>
      </c>
      <c r="AA48" s="3" t="s">
        <v>390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57">
      <c r="A49" s="3" t="s">
        <v>396</v>
      </c>
      <c r="B49" s="3" t="s">
        <v>96</v>
      </c>
      <c r="C49" s="3" t="s">
        <v>370</v>
      </c>
      <c r="D49" s="3" t="s">
        <v>371</v>
      </c>
      <c r="E49" s="3" t="s">
        <v>372</v>
      </c>
      <c r="F49" s="3" t="s">
        <v>397</v>
      </c>
      <c r="G49" s="3" t="s">
        <v>398</v>
      </c>
      <c r="H49" s="3" t="s">
        <v>102</v>
      </c>
      <c r="I49" s="3" t="s">
        <v>103</v>
      </c>
      <c r="J49" s="3" t="s">
        <v>150</v>
      </c>
      <c r="K49" s="3" t="s">
        <v>105</v>
      </c>
      <c r="L49" s="3" t="s">
        <v>106</v>
      </c>
      <c r="M49" s="7">
        <v>0.75</v>
      </c>
      <c r="N49" s="7">
        <v>4</v>
      </c>
      <c r="O49" s="7">
        <v>96</v>
      </c>
      <c r="P49" s="7"/>
      <c r="Q49" s="7"/>
      <c r="R49" s="7"/>
      <c r="S49" s="3" t="s">
        <v>399</v>
      </c>
      <c r="T49" s="3" t="s">
        <v>400</v>
      </c>
      <c r="U49" s="3" t="s">
        <v>109</v>
      </c>
      <c r="V49" s="3" t="s">
        <v>109</v>
      </c>
      <c r="W49" s="3" t="s">
        <v>110</v>
      </c>
      <c r="X49" s="7"/>
      <c r="Y49" s="3" t="s">
        <v>377</v>
      </c>
      <c r="Z49" s="3" t="s">
        <v>112</v>
      </c>
      <c r="AA49" s="3" t="s">
        <v>401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71.25">
      <c r="A50" s="3" t="s">
        <v>402</v>
      </c>
      <c r="B50" s="3" t="s">
        <v>96</v>
      </c>
      <c r="C50" s="3" t="s">
        <v>370</v>
      </c>
      <c r="D50" s="3" t="s">
        <v>371</v>
      </c>
      <c r="E50" s="3" t="s">
        <v>372</v>
      </c>
      <c r="F50" s="3" t="s">
        <v>403</v>
      </c>
      <c r="G50" s="3" t="s">
        <v>404</v>
      </c>
      <c r="H50" s="3" t="s">
        <v>102</v>
      </c>
      <c r="I50" s="3" t="s">
        <v>103</v>
      </c>
      <c r="J50" s="3" t="s">
        <v>150</v>
      </c>
      <c r="K50" s="3" t="s">
        <v>105</v>
      </c>
      <c r="L50" s="3" t="s">
        <v>106</v>
      </c>
      <c r="M50" s="7">
        <v>0.4</v>
      </c>
      <c r="N50" s="7">
        <v>6</v>
      </c>
      <c r="O50" s="7">
        <v>33</v>
      </c>
      <c r="P50" s="7"/>
      <c r="Q50" s="7"/>
      <c r="R50" s="7"/>
      <c r="S50" s="3" t="s">
        <v>382</v>
      </c>
      <c r="T50" s="3" t="s">
        <v>405</v>
      </c>
      <c r="U50" s="3" t="s">
        <v>109</v>
      </c>
      <c r="V50" s="3" t="s">
        <v>109</v>
      </c>
      <c r="W50" s="3" t="s">
        <v>110</v>
      </c>
      <c r="X50" s="7"/>
      <c r="Y50" s="3" t="s">
        <v>377</v>
      </c>
      <c r="Z50" s="3" t="s">
        <v>112</v>
      </c>
      <c r="AA50" s="3" t="s">
        <v>406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71.25">
      <c r="A51" s="3" t="s">
        <v>407</v>
      </c>
      <c r="B51" s="3" t="s">
        <v>96</v>
      </c>
      <c r="C51" s="3" t="s">
        <v>370</v>
      </c>
      <c r="D51" s="3" t="s">
        <v>371</v>
      </c>
      <c r="E51" s="3" t="s">
        <v>372</v>
      </c>
      <c r="F51" s="3" t="s">
        <v>408</v>
      </c>
      <c r="G51" s="3" t="s">
        <v>409</v>
      </c>
      <c r="H51" s="3" t="s">
        <v>102</v>
      </c>
      <c r="I51" s="3" t="s">
        <v>103</v>
      </c>
      <c r="J51" s="3" t="s">
        <v>150</v>
      </c>
      <c r="K51" s="3" t="s">
        <v>105</v>
      </c>
      <c r="L51" s="3" t="s">
        <v>106</v>
      </c>
      <c r="M51" s="7">
        <v>0.6</v>
      </c>
      <c r="N51" s="7">
        <v>6</v>
      </c>
      <c r="O51" s="7">
        <v>48</v>
      </c>
      <c r="P51" s="7"/>
      <c r="Q51" s="7"/>
      <c r="R51" s="7"/>
      <c r="S51" s="3" t="s">
        <v>388</v>
      </c>
      <c r="T51" s="3" t="s">
        <v>410</v>
      </c>
      <c r="U51" s="3" t="s">
        <v>109</v>
      </c>
      <c r="V51" s="3" t="s">
        <v>109</v>
      </c>
      <c r="W51" s="3" t="s">
        <v>110</v>
      </c>
      <c r="X51" s="7"/>
      <c r="Y51" s="3" t="s">
        <v>377</v>
      </c>
      <c r="Z51" s="3" t="s">
        <v>112</v>
      </c>
      <c r="AA51" s="3" t="s">
        <v>411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71.25">
      <c r="A52" s="3" t="s">
        <v>412</v>
      </c>
      <c r="B52" s="3" t="s">
        <v>96</v>
      </c>
      <c r="C52" s="3" t="s">
        <v>370</v>
      </c>
      <c r="D52" s="3" t="s">
        <v>371</v>
      </c>
      <c r="E52" s="3" t="s">
        <v>372</v>
      </c>
      <c r="F52" s="3" t="s">
        <v>413</v>
      </c>
      <c r="G52" s="3" t="s">
        <v>414</v>
      </c>
      <c r="H52" s="3" t="s">
        <v>102</v>
      </c>
      <c r="I52" s="3" t="s">
        <v>103</v>
      </c>
      <c r="J52" s="3" t="s">
        <v>150</v>
      </c>
      <c r="K52" s="3" t="s">
        <v>105</v>
      </c>
      <c r="L52" s="3" t="s">
        <v>106</v>
      </c>
      <c r="M52" s="7">
        <v>0.75</v>
      </c>
      <c r="N52" s="7">
        <v>6</v>
      </c>
      <c r="O52" s="7">
        <v>65</v>
      </c>
      <c r="P52" s="7"/>
      <c r="Q52" s="7"/>
      <c r="R52" s="7"/>
      <c r="S52" s="3" t="s">
        <v>394</v>
      </c>
      <c r="T52" s="3" t="s">
        <v>415</v>
      </c>
      <c r="U52" s="3" t="s">
        <v>109</v>
      </c>
      <c r="V52" s="3" t="s">
        <v>109</v>
      </c>
      <c r="W52" s="3" t="s">
        <v>110</v>
      </c>
      <c r="X52" s="7"/>
      <c r="Y52" s="3" t="s">
        <v>377</v>
      </c>
      <c r="Z52" s="3" t="s">
        <v>112</v>
      </c>
      <c r="AA52" s="3" t="s">
        <v>411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71.25">
      <c r="A53" s="3" t="s">
        <v>416</v>
      </c>
      <c r="B53" s="3" t="s">
        <v>96</v>
      </c>
      <c r="C53" s="3" t="s">
        <v>370</v>
      </c>
      <c r="D53" s="3" t="s">
        <v>371</v>
      </c>
      <c r="E53" s="3" t="s">
        <v>372</v>
      </c>
      <c r="F53" s="3" t="s">
        <v>417</v>
      </c>
      <c r="G53" s="3" t="s">
        <v>418</v>
      </c>
      <c r="H53" s="3" t="s">
        <v>102</v>
      </c>
      <c r="I53" s="3" t="s">
        <v>103</v>
      </c>
      <c r="J53" s="3" t="s">
        <v>150</v>
      </c>
      <c r="K53" s="3" t="s">
        <v>105</v>
      </c>
      <c r="L53" s="3" t="s">
        <v>106</v>
      </c>
      <c r="M53" s="7">
        <v>0.75</v>
      </c>
      <c r="N53" s="7">
        <v>6</v>
      </c>
      <c r="O53" s="7">
        <v>65</v>
      </c>
      <c r="P53" s="7"/>
      <c r="Q53" s="7"/>
      <c r="R53" s="7"/>
      <c r="S53" s="3" t="s">
        <v>399</v>
      </c>
      <c r="T53" s="3" t="s">
        <v>419</v>
      </c>
      <c r="U53" s="3" t="s">
        <v>109</v>
      </c>
      <c r="V53" s="3" t="s">
        <v>109</v>
      </c>
      <c r="W53" s="3" t="s">
        <v>110</v>
      </c>
      <c r="X53" s="7"/>
      <c r="Y53" s="3" t="s">
        <v>377</v>
      </c>
      <c r="Z53" s="3" t="s">
        <v>112</v>
      </c>
      <c r="AA53" s="3" t="s">
        <v>420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71.25">
      <c r="A54" s="3" t="s">
        <v>421</v>
      </c>
      <c r="B54" s="3" t="s">
        <v>96</v>
      </c>
      <c r="C54" s="3" t="s">
        <v>370</v>
      </c>
      <c r="D54" s="3" t="s">
        <v>371</v>
      </c>
      <c r="E54" s="3" t="s">
        <v>372</v>
      </c>
      <c r="F54" s="3" t="s">
        <v>422</v>
      </c>
      <c r="G54" s="3" t="s">
        <v>423</v>
      </c>
      <c r="H54" s="3" t="s">
        <v>102</v>
      </c>
      <c r="I54" s="3" t="s">
        <v>103</v>
      </c>
      <c r="J54" s="3" t="s">
        <v>150</v>
      </c>
      <c r="K54" s="3" t="s">
        <v>105</v>
      </c>
      <c r="L54" s="3" t="s">
        <v>106</v>
      </c>
      <c r="M54" s="7">
        <v>0.75</v>
      </c>
      <c r="N54" s="7">
        <v>8</v>
      </c>
      <c r="O54" s="7">
        <v>48</v>
      </c>
      <c r="P54" s="7"/>
      <c r="Q54" s="7"/>
      <c r="R54" s="7"/>
      <c r="S54" s="3" t="s">
        <v>394</v>
      </c>
      <c r="T54" s="3" t="s">
        <v>424</v>
      </c>
      <c r="U54" s="3" t="s">
        <v>109</v>
      </c>
      <c r="V54" s="3" t="s">
        <v>109</v>
      </c>
      <c r="W54" s="3" t="s">
        <v>110</v>
      </c>
      <c r="X54" s="7"/>
      <c r="Y54" s="3" t="s">
        <v>377</v>
      </c>
      <c r="Z54" s="3" t="s">
        <v>112</v>
      </c>
      <c r="AA54" s="3" t="s">
        <v>411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71.25">
      <c r="A55" s="3" t="s">
        <v>425</v>
      </c>
      <c r="B55" s="3" t="s">
        <v>96</v>
      </c>
      <c r="C55" s="3" t="s">
        <v>370</v>
      </c>
      <c r="D55" s="3" t="s">
        <v>371</v>
      </c>
      <c r="E55" s="3" t="s">
        <v>372</v>
      </c>
      <c r="F55" s="3" t="s">
        <v>426</v>
      </c>
      <c r="G55" s="3" t="s">
        <v>427</v>
      </c>
      <c r="H55" s="3" t="s">
        <v>102</v>
      </c>
      <c r="I55" s="3" t="s">
        <v>103</v>
      </c>
      <c r="J55" s="3" t="s">
        <v>150</v>
      </c>
      <c r="K55" s="3" t="s">
        <v>105</v>
      </c>
      <c r="L55" s="3" t="s">
        <v>106</v>
      </c>
      <c r="M55" s="7">
        <v>0.75</v>
      </c>
      <c r="N55" s="7">
        <v>8</v>
      </c>
      <c r="O55" s="7">
        <v>48</v>
      </c>
      <c r="P55" s="7"/>
      <c r="Q55" s="7"/>
      <c r="R55" s="7"/>
      <c r="S55" s="3" t="s">
        <v>399</v>
      </c>
      <c r="T55" s="3" t="s">
        <v>428</v>
      </c>
      <c r="U55" s="3" t="s">
        <v>109</v>
      </c>
      <c r="V55" s="3" t="s">
        <v>109</v>
      </c>
      <c r="W55" s="3" t="s">
        <v>110</v>
      </c>
      <c r="X55" s="7"/>
      <c r="Y55" s="3" t="s">
        <v>377</v>
      </c>
      <c r="Z55" s="3" t="s">
        <v>112</v>
      </c>
      <c r="AA55" s="3" t="s">
        <v>420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14">
      <c r="A56" s="3" t="s">
        <v>429</v>
      </c>
      <c r="B56" s="3" t="s">
        <v>96</v>
      </c>
      <c r="C56" s="3" t="s">
        <v>370</v>
      </c>
      <c r="D56" s="3" t="s">
        <v>371</v>
      </c>
      <c r="E56" s="3" t="s">
        <v>430</v>
      </c>
      <c r="F56" s="3" t="s">
        <v>431</v>
      </c>
      <c r="G56" s="3" t="s">
        <v>432</v>
      </c>
      <c r="H56" s="3" t="s">
        <v>102</v>
      </c>
      <c r="I56" s="3" t="s">
        <v>103</v>
      </c>
      <c r="J56" s="3" t="s">
        <v>150</v>
      </c>
      <c r="K56" s="3" t="s">
        <v>105</v>
      </c>
      <c r="L56" s="3" t="s">
        <v>106</v>
      </c>
      <c r="M56" s="7">
        <v>0.5</v>
      </c>
      <c r="N56" s="7">
        <v>4.5</v>
      </c>
      <c r="O56" s="7">
        <v>32</v>
      </c>
      <c r="P56" s="7"/>
      <c r="Q56" s="7"/>
      <c r="R56" s="7"/>
      <c r="S56" s="3" t="s">
        <v>375</v>
      </c>
      <c r="T56" s="3" t="s">
        <v>433</v>
      </c>
      <c r="U56" s="3" t="s">
        <v>109</v>
      </c>
      <c r="V56" s="3" t="s">
        <v>109</v>
      </c>
      <c r="W56" s="3" t="s">
        <v>110</v>
      </c>
      <c r="X56" s="7"/>
      <c r="Y56" s="3" t="s">
        <v>377</v>
      </c>
      <c r="Z56" s="3" t="s">
        <v>112</v>
      </c>
      <c r="AA56" s="3" t="s">
        <v>434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56.75">
      <c r="A57" s="3" t="s">
        <v>435</v>
      </c>
      <c r="B57" s="3" t="s">
        <v>96</v>
      </c>
      <c r="C57" s="3" t="s">
        <v>436</v>
      </c>
      <c r="D57" s="3" t="s">
        <v>437</v>
      </c>
      <c r="E57" s="3" t="s">
        <v>438</v>
      </c>
      <c r="F57" s="3" t="s">
        <v>439</v>
      </c>
      <c r="G57" s="3" t="s">
        <v>440</v>
      </c>
      <c r="H57" s="3" t="s">
        <v>102</v>
      </c>
      <c r="I57" s="3" t="s">
        <v>103</v>
      </c>
      <c r="J57" s="3"/>
      <c r="K57" s="3" t="s">
        <v>105</v>
      </c>
      <c r="L57" s="3" t="s">
        <v>106</v>
      </c>
      <c r="M57" s="7">
        <v>0.12</v>
      </c>
      <c r="N57" s="7">
        <v>1.2</v>
      </c>
      <c r="O57" s="7">
        <v>56</v>
      </c>
      <c r="P57" s="7"/>
      <c r="Q57" s="7"/>
      <c r="R57" s="7"/>
      <c r="S57" s="3" t="s">
        <v>441</v>
      </c>
      <c r="T57" s="3" t="s">
        <v>442</v>
      </c>
      <c r="U57" s="3" t="s">
        <v>109</v>
      </c>
      <c r="V57" s="3" t="s">
        <v>109</v>
      </c>
      <c r="W57" s="3" t="s">
        <v>110</v>
      </c>
      <c r="X57" s="7"/>
      <c r="Y57" s="3" t="s">
        <v>443</v>
      </c>
      <c r="Z57" s="3" t="s">
        <v>112</v>
      </c>
      <c r="AA57" s="3" t="s">
        <v>444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56.75">
      <c r="A58" s="3" t="s">
        <v>445</v>
      </c>
      <c r="B58" s="3" t="s">
        <v>96</v>
      </c>
      <c r="C58" s="3" t="s">
        <v>436</v>
      </c>
      <c r="D58" s="3" t="s">
        <v>437</v>
      </c>
      <c r="E58" s="3" t="s">
        <v>438</v>
      </c>
      <c r="F58" s="3" t="s">
        <v>446</v>
      </c>
      <c r="G58" s="3" t="s">
        <v>447</v>
      </c>
      <c r="H58" s="3" t="s">
        <v>102</v>
      </c>
      <c r="I58" s="3" t="s">
        <v>103</v>
      </c>
      <c r="J58" s="3"/>
      <c r="K58" s="3" t="s">
        <v>105</v>
      </c>
      <c r="L58" s="3" t="s">
        <v>106</v>
      </c>
      <c r="M58" s="7">
        <v>0.5</v>
      </c>
      <c r="N58" s="7">
        <v>1.7</v>
      </c>
      <c r="O58" s="7">
        <v>109</v>
      </c>
      <c r="P58" s="7"/>
      <c r="Q58" s="7"/>
      <c r="R58" s="7"/>
      <c r="S58" s="3" t="s">
        <v>448</v>
      </c>
      <c r="T58" s="3" t="s">
        <v>449</v>
      </c>
      <c r="U58" s="3" t="s">
        <v>109</v>
      </c>
      <c r="V58" s="3" t="s">
        <v>109</v>
      </c>
      <c r="W58" s="3" t="s">
        <v>110</v>
      </c>
      <c r="X58" s="7"/>
      <c r="Y58" s="3" t="s">
        <v>443</v>
      </c>
      <c r="Z58" s="3" t="s">
        <v>112</v>
      </c>
      <c r="AA58" s="3" t="s">
        <v>450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56.75">
      <c r="A59" s="3" t="s">
        <v>451</v>
      </c>
      <c r="B59" s="3" t="s">
        <v>96</v>
      </c>
      <c r="C59" s="3" t="s">
        <v>436</v>
      </c>
      <c r="D59" s="3" t="s">
        <v>437</v>
      </c>
      <c r="E59" s="3" t="s">
        <v>438</v>
      </c>
      <c r="F59" s="3" t="s">
        <v>446</v>
      </c>
      <c r="G59" s="3" t="s">
        <v>452</v>
      </c>
      <c r="H59" s="3" t="s">
        <v>102</v>
      </c>
      <c r="I59" s="3" t="s">
        <v>103</v>
      </c>
      <c r="J59" s="3"/>
      <c r="K59" s="3" t="s">
        <v>105</v>
      </c>
      <c r="L59" s="3" t="s">
        <v>106</v>
      </c>
      <c r="M59" s="7">
        <v>0.5</v>
      </c>
      <c r="N59" s="7">
        <v>1.7</v>
      </c>
      <c r="O59" s="7">
        <v>109</v>
      </c>
      <c r="P59" s="7"/>
      <c r="Q59" s="7"/>
      <c r="R59" s="7"/>
      <c r="S59" s="3" t="s">
        <v>453</v>
      </c>
      <c r="T59" s="3" t="s">
        <v>449</v>
      </c>
      <c r="U59" s="3" t="s">
        <v>109</v>
      </c>
      <c r="V59" s="3" t="s">
        <v>109</v>
      </c>
      <c r="W59" s="3" t="s">
        <v>110</v>
      </c>
      <c r="X59" s="7"/>
      <c r="Y59" s="3" t="s">
        <v>443</v>
      </c>
      <c r="Z59" s="3" t="s">
        <v>112</v>
      </c>
      <c r="AA59" s="3" t="s">
        <v>454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56.75">
      <c r="A60" s="3" t="s">
        <v>455</v>
      </c>
      <c r="B60" s="3" t="s">
        <v>96</v>
      </c>
      <c r="C60" s="3" t="s">
        <v>436</v>
      </c>
      <c r="D60" s="3" t="s">
        <v>437</v>
      </c>
      <c r="E60" s="3" t="s">
        <v>438</v>
      </c>
      <c r="F60" s="3" t="s">
        <v>456</v>
      </c>
      <c r="G60" s="3" t="s">
        <v>457</v>
      </c>
      <c r="H60" s="3" t="s">
        <v>102</v>
      </c>
      <c r="I60" s="3" t="s">
        <v>103</v>
      </c>
      <c r="J60" s="3"/>
      <c r="K60" s="3" t="s">
        <v>105</v>
      </c>
      <c r="L60" s="3" t="s">
        <v>106</v>
      </c>
      <c r="M60" s="7">
        <v>0.75</v>
      </c>
      <c r="N60" s="7">
        <v>2</v>
      </c>
      <c r="O60" s="7">
        <v>150</v>
      </c>
      <c r="P60" s="7"/>
      <c r="Q60" s="7"/>
      <c r="R60" s="7"/>
      <c r="S60" s="3" t="s">
        <v>453</v>
      </c>
      <c r="T60" s="3" t="s">
        <v>458</v>
      </c>
      <c r="U60" s="3" t="s">
        <v>109</v>
      </c>
      <c r="V60" s="3" t="s">
        <v>109</v>
      </c>
      <c r="W60" s="3" t="s">
        <v>110</v>
      </c>
      <c r="X60" s="7"/>
      <c r="Y60" s="3" t="s">
        <v>443</v>
      </c>
      <c r="Z60" s="3" t="s">
        <v>112</v>
      </c>
      <c r="AA60" s="3" t="s">
        <v>459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56.75">
      <c r="A61" s="3" t="s">
        <v>460</v>
      </c>
      <c r="B61" s="3" t="s">
        <v>96</v>
      </c>
      <c r="C61" s="3" t="s">
        <v>436</v>
      </c>
      <c r="D61" s="3" t="s">
        <v>437</v>
      </c>
      <c r="E61" s="3" t="s">
        <v>438</v>
      </c>
      <c r="F61" s="3" t="s">
        <v>456</v>
      </c>
      <c r="G61" s="3" t="s">
        <v>461</v>
      </c>
      <c r="H61" s="3" t="s">
        <v>102</v>
      </c>
      <c r="I61" s="3" t="s">
        <v>103</v>
      </c>
      <c r="J61" s="3"/>
      <c r="K61" s="3" t="s">
        <v>105</v>
      </c>
      <c r="L61" s="3" t="s">
        <v>106</v>
      </c>
      <c r="M61" s="7">
        <v>0.75</v>
      </c>
      <c r="N61" s="7">
        <v>2</v>
      </c>
      <c r="O61" s="7">
        <v>150</v>
      </c>
      <c r="P61" s="7"/>
      <c r="Q61" s="7"/>
      <c r="R61" s="7"/>
      <c r="S61" s="3" t="s">
        <v>462</v>
      </c>
      <c r="T61" s="3" t="s">
        <v>458</v>
      </c>
      <c r="U61" s="3" t="s">
        <v>109</v>
      </c>
      <c r="V61" s="3" t="s">
        <v>109</v>
      </c>
      <c r="W61" s="3" t="s">
        <v>110</v>
      </c>
      <c r="X61" s="7"/>
      <c r="Y61" s="3" t="s">
        <v>443</v>
      </c>
      <c r="Z61" s="3" t="s">
        <v>112</v>
      </c>
      <c r="AA61" s="3" t="s">
        <v>463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56.75">
      <c r="A62" s="3" t="s">
        <v>464</v>
      </c>
      <c r="B62" s="3" t="s">
        <v>96</v>
      </c>
      <c r="C62" s="3" t="s">
        <v>436</v>
      </c>
      <c r="D62" s="3" t="s">
        <v>437</v>
      </c>
      <c r="E62" s="3" t="s">
        <v>465</v>
      </c>
      <c r="F62" s="3" t="s">
        <v>466</v>
      </c>
      <c r="G62" s="3" t="s">
        <v>467</v>
      </c>
      <c r="H62" s="3" t="s">
        <v>102</v>
      </c>
      <c r="I62" s="3" t="s">
        <v>103</v>
      </c>
      <c r="J62" s="3"/>
      <c r="K62" s="3" t="s">
        <v>105</v>
      </c>
      <c r="L62" s="3" t="s">
        <v>106</v>
      </c>
      <c r="M62" s="7">
        <v>0.5</v>
      </c>
      <c r="N62" s="7">
        <v>1.7</v>
      </c>
      <c r="O62" s="7">
        <v>70</v>
      </c>
      <c r="P62" s="7"/>
      <c r="Q62" s="7"/>
      <c r="R62" s="7"/>
      <c r="S62" s="3" t="s">
        <v>448</v>
      </c>
      <c r="T62" s="3" t="s">
        <v>468</v>
      </c>
      <c r="U62" s="3" t="s">
        <v>109</v>
      </c>
      <c r="V62" s="3" t="s">
        <v>109</v>
      </c>
      <c r="W62" s="3" t="s">
        <v>110</v>
      </c>
      <c r="X62" s="7"/>
      <c r="Y62" s="3" t="s">
        <v>443</v>
      </c>
      <c r="Z62" s="3" t="s">
        <v>112</v>
      </c>
      <c r="AA62" s="3" t="s">
        <v>469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56.75">
      <c r="A63" s="3" t="s">
        <v>470</v>
      </c>
      <c r="B63" s="3" t="s">
        <v>96</v>
      </c>
      <c r="C63" s="3" t="s">
        <v>436</v>
      </c>
      <c r="D63" s="3" t="s">
        <v>437</v>
      </c>
      <c r="E63" s="3" t="s">
        <v>465</v>
      </c>
      <c r="F63" s="3" t="s">
        <v>466</v>
      </c>
      <c r="G63" s="3" t="s">
        <v>471</v>
      </c>
      <c r="H63" s="3" t="s">
        <v>102</v>
      </c>
      <c r="I63" s="3" t="s">
        <v>103</v>
      </c>
      <c r="J63" s="3"/>
      <c r="K63" s="3" t="s">
        <v>105</v>
      </c>
      <c r="L63" s="3" t="s">
        <v>106</v>
      </c>
      <c r="M63" s="7">
        <v>0.5</v>
      </c>
      <c r="N63" s="7">
        <v>1.7</v>
      </c>
      <c r="O63" s="7">
        <v>70</v>
      </c>
      <c r="P63" s="7"/>
      <c r="Q63" s="7"/>
      <c r="R63" s="7"/>
      <c r="S63" s="3" t="s">
        <v>453</v>
      </c>
      <c r="T63" s="3" t="s">
        <v>468</v>
      </c>
      <c r="U63" s="3" t="s">
        <v>109</v>
      </c>
      <c r="V63" s="3" t="s">
        <v>109</v>
      </c>
      <c r="W63" s="3" t="s">
        <v>110</v>
      </c>
      <c r="X63" s="7"/>
      <c r="Y63" s="3" t="s">
        <v>443</v>
      </c>
      <c r="Z63" s="3" t="s">
        <v>112</v>
      </c>
      <c r="AA63" s="3" t="s">
        <v>472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56.75">
      <c r="A64" s="3" t="s">
        <v>473</v>
      </c>
      <c r="B64" s="3" t="s">
        <v>96</v>
      </c>
      <c r="C64" s="3" t="s">
        <v>436</v>
      </c>
      <c r="D64" s="3" t="s">
        <v>437</v>
      </c>
      <c r="E64" s="3" t="s">
        <v>465</v>
      </c>
      <c r="F64" s="3" t="s">
        <v>474</v>
      </c>
      <c r="G64" s="3" t="s">
        <v>475</v>
      </c>
      <c r="H64" s="3" t="s">
        <v>102</v>
      </c>
      <c r="I64" s="3" t="s">
        <v>103</v>
      </c>
      <c r="J64" s="3"/>
      <c r="K64" s="3" t="s">
        <v>105</v>
      </c>
      <c r="L64" s="3" t="s">
        <v>106</v>
      </c>
      <c r="M64" s="7">
        <v>0.75</v>
      </c>
      <c r="N64" s="7">
        <v>2</v>
      </c>
      <c r="O64" s="7">
        <v>95</v>
      </c>
      <c r="P64" s="7"/>
      <c r="Q64" s="7"/>
      <c r="R64" s="7"/>
      <c r="S64" s="3" t="s">
        <v>453</v>
      </c>
      <c r="T64" s="3" t="s">
        <v>476</v>
      </c>
      <c r="U64" s="3" t="s">
        <v>109</v>
      </c>
      <c r="V64" s="3" t="s">
        <v>109</v>
      </c>
      <c r="W64" s="3" t="s">
        <v>110</v>
      </c>
      <c r="X64" s="7"/>
      <c r="Y64" s="3" t="s">
        <v>443</v>
      </c>
      <c r="Z64" s="3" t="s">
        <v>112</v>
      </c>
      <c r="AA64" s="3" t="s">
        <v>477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56.75">
      <c r="A65" s="3" t="s">
        <v>478</v>
      </c>
      <c r="B65" s="3" t="s">
        <v>96</v>
      </c>
      <c r="C65" s="3" t="s">
        <v>436</v>
      </c>
      <c r="D65" s="3" t="s">
        <v>437</v>
      </c>
      <c r="E65" s="3" t="s">
        <v>465</v>
      </c>
      <c r="F65" s="3" t="s">
        <v>474</v>
      </c>
      <c r="G65" s="3" t="s">
        <v>479</v>
      </c>
      <c r="H65" s="3" t="s">
        <v>102</v>
      </c>
      <c r="I65" s="3" t="s">
        <v>103</v>
      </c>
      <c r="J65" s="3"/>
      <c r="K65" s="3" t="s">
        <v>105</v>
      </c>
      <c r="L65" s="3" t="s">
        <v>106</v>
      </c>
      <c r="M65" s="7">
        <v>0.75</v>
      </c>
      <c r="N65" s="7">
        <v>2</v>
      </c>
      <c r="O65" s="7">
        <v>95</v>
      </c>
      <c r="P65" s="7"/>
      <c r="Q65" s="7"/>
      <c r="R65" s="7"/>
      <c r="S65" s="3" t="s">
        <v>462</v>
      </c>
      <c r="T65" s="3" t="s">
        <v>476</v>
      </c>
      <c r="U65" s="3" t="s">
        <v>109</v>
      </c>
      <c r="V65" s="3" t="s">
        <v>109</v>
      </c>
      <c r="W65" s="3" t="s">
        <v>110</v>
      </c>
      <c r="X65" s="7"/>
      <c r="Y65" s="3" t="s">
        <v>443</v>
      </c>
      <c r="Z65" s="3" t="s">
        <v>112</v>
      </c>
      <c r="AA65" s="3" t="s">
        <v>480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56.75">
      <c r="A66" s="3" t="s">
        <v>481</v>
      </c>
      <c r="B66" s="3" t="s">
        <v>96</v>
      </c>
      <c r="C66" s="3" t="s">
        <v>436</v>
      </c>
      <c r="D66" s="3" t="s">
        <v>437</v>
      </c>
      <c r="E66" s="3" t="s">
        <v>482</v>
      </c>
      <c r="F66" s="3" t="s">
        <v>483</v>
      </c>
      <c r="G66" s="3" t="s">
        <v>484</v>
      </c>
      <c r="H66" s="3" t="s">
        <v>102</v>
      </c>
      <c r="I66" s="3" t="s">
        <v>103</v>
      </c>
      <c r="J66" s="3"/>
      <c r="K66" s="3" t="s">
        <v>105</v>
      </c>
      <c r="L66" s="3" t="s">
        <v>106</v>
      </c>
      <c r="M66" s="7">
        <v>0.12</v>
      </c>
      <c r="N66" s="7">
        <v>1.2</v>
      </c>
      <c r="O66" s="7">
        <v>56</v>
      </c>
      <c r="P66" s="7"/>
      <c r="Q66" s="7"/>
      <c r="R66" s="7"/>
      <c r="S66" s="3" t="s">
        <v>441</v>
      </c>
      <c r="T66" s="3" t="s">
        <v>485</v>
      </c>
      <c r="U66" s="3" t="s">
        <v>109</v>
      </c>
      <c r="V66" s="3" t="s">
        <v>109</v>
      </c>
      <c r="W66" s="3" t="s">
        <v>110</v>
      </c>
      <c r="X66" s="7"/>
      <c r="Y66" s="3" t="s">
        <v>443</v>
      </c>
      <c r="Z66" s="3" t="s">
        <v>112</v>
      </c>
      <c r="AA66" s="3" t="s">
        <v>444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56.75">
      <c r="A67" s="3" t="s">
        <v>486</v>
      </c>
      <c r="B67" s="3" t="s">
        <v>96</v>
      </c>
      <c r="C67" s="3" t="s">
        <v>436</v>
      </c>
      <c r="D67" s="3" t="s">
        <v>437</v>
      </c>
      <c r="E67" s="3" t="s">
        <v>482</v>
      </c>
      <c r="F67" s="3" t="s">
        <v>487</v>
      </c>
      <c r="G67" s="3" t="s">
        <v>488</v>
      </c>
      <c r="H67" s="3" t="s">
        <v>102</v>
      </c>
      <c r="I67" s="3" t="s">
        <v>103</v>
      </c>
      <c r="J67" s="3"/>
      <c r="K67" s="3" t="s">
        <v>105</v>
      </c>
      <c r="L67" s="3" t="s">
        <v>106</v>
      </c>
      <c r="M67" s="7">
        <v>0.5</v>
      </c>
      <c r="N67" s="7">
        <v>1.7</v>
      </c>
      <c r="O67" s="7">
        <v>109</v>
      </c>
      <c r="P67" s="7"/>
      <c r="Q67" s="7"/>
      <c r="R67" s="7"/>
      <c r="S67" s="3" t="s">
        <v>448</v>
      </c>
      <c r="T67" s="3" t="s">
        <v>489</v>
      </c>
      <c r="U67" s="3" t="s">
        <v>109</v>
      </c>
      <c r="V67" s="3" t="s">
        <v>109</v>
      </c>
      <c r="W67" s="3" t="s">
        <v>110</v>
      </c>
      <c r="X67" s="7"/>
      <c r="Y67" s="3" t="s">
        <v>443</v>
      </c>
      <c r="Z67" s="3" t="s">
        <v>112</v>
      </c>
      <c r="AA67" s="3" t="s">
        <v>450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56.75">
      <c r="A68" s="3" t="s">
        <v>490</v>
      </c>
      <c r="B68" s="3" t="s">
        <v>96</v>
      </c>
      <c r="C68" s="3" t="s">
        <v>436</v>
      </c>
      <c r="D68" s="3" t="s">
        <v>437</v>
      </c>
      <c r="E68" s="3" t="s">
        <v>482</v>
      </c>
      <c r="F68" s="3" t="s">
        <v>487</v>
      </c>
      <c r="G68" s="3" t="s">
        <v>491</v>
      </c>
      <c r="H68" s="3" t="s">
        <v>102</v>
      </c>
      <c r="I68" s="3" t="s">
        <v>103</v>
      </c>
      <c r="J68" s="3"/>
      <c r="K68" s="3" t="s">
        <v>105</v>
      </c>
      <c r="L68" s="3" t="s">
        <v>106</v>
      </c>
      <c r="M68" s="7">
        <v>0.5</v>
      </c>
      <c r="N68" s="7">
        <v>1.7</v>
      </c>
      <c r="O68" s="7">
        <v>109</v>
      </c>
      <c r="P68" s="7"/>
      <c r="Q68" s="7"/>
      <c r="R68" s="7"/>
      <c r="S68" s="3" t="s">
        <v>453</v>
      </c>
      <c r="T68" s="3" t="s">
        <v>489</v>
      </c>
      <c r="U68" s="3" t="s">
        <v>109</v>
      </c>
      <c r="V68" s="3" t="s">
        <v>109</v>
      </c>
      <c r="W68" s="3" t="s">
        <v>110</v>
      </c>
      <c r="X68" s="7"/>
      <c r="Y68" s="3" t="s">
        <v>443</v>
      </c>
      <c r="Z68" s="3" t="s">
        <v>112</v>
      </c>
      <c r="AA68" s="3" t="s">
        <v>454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56.75">
      <c r="A69" s="3" t="s">
        <v>492</v>
      </c>
      <c r="B69" s="3" t="s">
        <v>96</v>
      </c>
      <c r="C69" s="3" t="s">
        <v>436</v>
      </c>
      <c r="D69" s="3" t="s">
        <v>437</v>
      </c>
      <c r="E69" s="3" t="s">
        <v>482</v>
      </c>
      <c r="F69" s="3" t="s">
        <v>493</v>
      </c>
      <c r="G69" s="3" t="s">
        <v>494</v>
      </c>
      <c r="H69" s="3" t="s">
        <v>102</v>
      </c>
      <c r="I69" s="3" t="s">
        <v>103</v>
      </c>
      <c r="J69" s="3"/>
      <c r="K69" s="3" t="s">
        <v>105</v>
      </c>
      <c r="L69" s="3" t="s">
        <v>106</v>
      </c>
      <c r="M69" s="7">
        <v>0.75</v>
      </c>
      <c r="N69" s="7">
        <v>2</v>
      </c>
      <c r="O69" s="7">
        <v>150</v>
      </c>
      <c r="P69" s="7"/>
      <c r="Q69" s="7"/>
      <c r="R69" s="7"/>
      <c r="S69" s="3" t="s">
        <v>453</v>
      </c>
      <c r="T69" s="3" t="s">
        <v>495</v>
      </c>
      <c r="U69" s="3" t="s">
        <v>109</v>
      </c>
      <c r="V69" s="3" t="s">
        <v>109</v>
      </c>
      <c r="W69" s="3" t="s">
        <v>110</v>
      </c>
      <c r="X69" s="7"/>
      <c r="Y69" s="3" t="s">
        <v>443</v>
      </c>
      <c r="Z69" s="3" t="s">
        <v>112</v>
      </c>
      <c r="AA69" s="3" t="s">
        <v>459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56.75">
      <c r="A70" s="3" t="s">
        <v>496</v>
      </c>
      <c r="B70" s="3" t="s">
        <v>96</v>
      </c>
      <c r="C70" s="3" t="s">
        <v>436</v>
      </c>
      <c r="D70" s="3" t="s">
        <v>437</v>
      </c>
      <c r="E70" s="3" t="s">
        <v>482</v>
      </c>
      <c r="F70" s="3" t="s">
        <v>493</v>
      </c>
      <c r="G70" s="3" t="s">
        <v>497</v>
      </c>
      <c r="H70" s="3" t="s">
        <v>102</v>
      </c>
      <c r="I70" s="3" t="s">
        <v>103</v>
      </c>
      <c r="J70" s="3"/>
      <c r="K70" s="3" t="s">
        <v>105</v>
      </c>
      <c r="L70" s="3" t="s">
        <v>106</v>
      </c>
      <c r="M70" s="7">
        <v>0.75</v>
      </c>
      <c r="N70" s="7">
        <v>2</v>
      </c>
      <c r="O70" s="7">
        <v>150</v>
      </c>
      <c r="P70" s="7"/>
      <c r="Q70" s="7"/>
      <c r="R70" s="7"/>
      <c r="S70" s="3" t="s">
        <v>462</v>
      </c>
      <c r="T70" s="3" t="s">
        <v>495</v>
      </c>
      <c r="U70" s="3" t="s">
        <v>109</v>
      </c>
      <c r="V70" s="3" t="s">
        <v>109</v>
      </c>
      <c r="W70" s="3" t="s">
        <v>110</v>
      </c>
      <c r="X70" s="7"/>
      <c r="Y70" s="3" t="s">
        <v>443</v>
      </c>
      <c r="Z70" s="3" t="s">
        <v>112</v>
      </c>
      <c r="AA70" s="3" t="s">
        <v>463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56.75">
      <c r="A71" s="3" t="s">
        <v>498</v>
      </c>
      <c r="B71" s="3" t="s">
        <v>96</v>
      </c>
      <c r="C71" s="3" t="s">
        <v>436</v>
      </c>
      <c r="D71" s="3" t="s">
        <v>437</v>
      </c>
      <c r="E71" s="3" t="s">
        <v>499</v>
      </c>
      <c r="F71" s="3" t="s">
        <v>500</v>
      </c>
      <c r="G71" s="3" t="s">
        <v>501</v>
      </c>
      <c r="H71" s="3" t="s">
        <v>102</v>
      </c>
      <c r="I71" s="3" t="s">
        <v>103</v>
      </c>
      <c r="J71" s="3"/>
      <c r="K71" s="3" t="s">
        <v>105</v>
      </c>
      <c r="L71" s="3" t="s">
        <v>106</v>
      </c>
      <c r="M71" s="7">
        <v>0.5</v>
      </c>
      <c r="N71" s="7">
        <v>1.7</v>
      </c>
      <c r="O71" s="7">
        <v>70</v>
      </c>
      <c r="P71" s="7"/>
      <c r="Q71" s="7"/>
      <c r="R71" s="7"/>
      <c r="S71" s="3" t="s">
        <v>448</v>
      </c>
      <c r="T71" s="3" t="s">
        <v>502</v>
      </c>
      <c r="U71" s="3" t="s">
        <v>109</v>
      </c>
      <c r="V71" s="3" t="s">
        <v>109</v>
      </c>
      <c r="W71" s="3" t="s">
        <v>110</v>
      </c>
      <c r="X71" s="7"/>
      <c r="Y71" s="3" t="s">
        <v>443</v>
      </c>
      <c r="Z71" s="3" t="s">
        <v>112</v>
      </c>
      <c r="AA71" s="3" t="s">
        <v>469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56.75">
      <c r="A72" s="3" t="s">
        <v>503</v>
      </c>
      <c r="B72" s="3" t="s">
        <v>96</v>
      </c>
      <c r="C72" s="3" t="s">
        <v>436</v>
      </c>
      <c r="D72" s="3" t="s">
        <v>437</v>
      </c>
      <c r="E72" s="3" t="s">
        <v>499</v>
      </c>
      <c r="F72" s="3" t="s">
        <v>500</v>
      </c>
      <c r="G72" s="3" t="s">
        <v>504</v>
      </c>
      <c r="H72" s="3" t="s">
        <v>102</v>
      </c>
      <c r="I72" s="3" t="s">
        <v>103</v>
      </c>
      <c r="J72" s="3"/>
      <c r="K72" s="3" t="s">
        <v>105</v>
      </c>
      <c r="L72" s="3" t="s">
        <v>106</v>
      </c>
      <c r="M72" s="7">
        <v>0.5</v>
      </c>
      <c r="N72" s="7">
        <v>1.7</v>
      </c>
      <c r="O72" s="7">
        <v>70</v>
      </c>
      <c r="P72" s="7"/>
      <c r="Q72" s="7"/>
      <c r="R72" s="7"/>
      <c r="S72" s="3" t="s">
        <v>453</v>
      </c>
      <c r="T72" s="3" t="s">
        <v>502</v>
      </c>
      <c r="U72" s="3" t="s">
        <v>109</v>
      </c>
      <c r="V72" s="3" t="s">
        <v>109</v>
      </c>
      <c r="W72" s="3" t="s">
        <v>110</v>
      </c>
      <c r="X72" s="7"/>
      <c r="Y72" s="3" t="s">
        <v>443</v>
      </c>
      <c r="Z72" s="3" t="s">
        <v>112</v>
      </c>
      <c r="AA72" s="3" t="s">
        <v>472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56.75">
      <c r="A73" s="3" t="s">
        <v>505</v>
      </c>
      <c r="B73" s="3" t="s">
        <v>96</v>
      </c>
      <c r="C73" s="3" t="s">
        <v>436</v>
      </c>
      <c r="D73" s="3" t="s">
        <v>437</v>
      </c>
      <c r="E73" s="3" t="s">
        <v>499</v>
      </c>
      <c r="F73" s="3" t="s">
        <v>506</v>
      </c>
      <c r="G73" s="3" t="s">
        <v>507</v>
      </c>
      <c r="H73" s="3" t="s">
        <v>102</v>
      </c>
      <c r="I73" s="3" t="s">
        <v>103</v>
      </c>
      <c r="J73" s="3"/>
      <c r="K73" s="3" t="s">
        <v>105</v>
      </c>
      <c r="L73" s="3" t="s">
        <v>106</v>
      </c>
      <c r="M73" s="7">
        <v>0.75</v>
      </c>
      <c r="N73" s="7">
        <v>2</v>
      </c>
      <c r="O73" s="7">
        <v>95</v>
      </c>
      <c r="P73" s="7"/>
      <c r="Q73" s="7"/>
      <c r="R73" s="7"/>
      <c r="S73" s="3" t="s">
        <v>453</v>
      </c>
      <c r="T73" s="3" t="s">
        <v>508</v>
      </c>
      <c r="U73" s="3" t="s">
        <v>109</v>
      </c>
      <c r="V73" s="3" t="s">
        <v>109</v>
      </c>
      <c r="W73" s="3" t="s">
        <v>110</v>
      </c>
      <c r="X73" s="7"/>
      <c r="Y73" s="3" t="s">
        <v>443</v>
      </c>
      <c r="Z73" s="3" t="s">
        <v>112</v>
      </c>
      <c r="AA73" s="3" t="s">
        <v>477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56.75">
      <c r="A74" s="3" t="s">
        <v>509</v>
      </c>
      <c r="B74" s="3" t="s">
        <v>96</v>
      </c>
      <c r="C74" s="3" t="s">
        <v>436</v>
      </c>
      <c r="D74" s="3" t="s">
        <v>437</v>
      </c>
      <c r="E74" s="3" t="s">
        <v>499</v>
      </c>
      <c r="F74" s="3" t="s">
        <v>506</v>
      </c>
      <c r="G74" s="3" t="s">
        <v>510</v>
      </c>
      <c r="H74" s="3" t="s">
        <v>102</v>
      </c>
      <c r="I74" s="3" t="s">
        <v>103</v>
      </c>
      <c r="J74" s="3"/>
      <c r="K74" s="3" t="s">
        <v>105</v>
      </c>
      <c r="L74" s="3" t="s">
        <v>106</v>
      </c>
      <c r="M74" s="7">
        <v>0.75</v>
      </c>
      <c r="N74" s="7">
        <v>2</v>
      </c>
      <c r="O74" s="7">
        <v>95</v>
      </c>
      <c r="P74" s="7"/>
      <c r="Q74" s="7"/>
      <c r="R74" s="7"/>
      <c r="S74" s="3" t="s">
        <v>462</v>
      </c>
      <c r="T74" s="3" t="s">
        <v>508</v>
      </c>
      <c r="U74" s="3" t="s">
        <v>109</v>
      </c>
      <c r="V74" s="3" t="s">
        <v>109</v>
      </c>
      <c r="W74" s="3" t="s">
        <v>110</v>
      </c>
      <c r="X74" s="7"/>
      <c r="Y74" s="3" t="s">
        <v>443</v>
      </c>
      <c r="Z74" s="3" t="s">
        <v>112</v>
      </c>
      <c r="AA74" s="3" t="s">
        <v>480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71.25">
      <c r="A75" s="3" t="s">
        <v>511</v>
      </c>
      <c r="B75" s="3" t="s">
        <v>96</v>
      </c>
      <c r="C75" s="3" t="s">
        <v>512</v>
      </c>
      <c r="D75" s="3" t="s">
        <v>513</v>
      </c>
      <c r="E75" s="3" t="s">
        <v>514</v>
      </c>
      <c r="F75" s="3" t="s">
        <v>515</v>
      </c>
      <c r="G75" s="3" t="s">
        <v>516</v>
      </c>
      <c r="H75" s="3" t="s">
        <v>102</v>
      </c>
      <c r="I75" s="3" t="s">
        <v>103</v>
      </c>
      <c r="J75" s="3" t="s">
        <v>344</v>
      </c>
      <c r="K75" s="3" t="s">
        <v>292</v>
      </c>
      <c r="L75" s="3" t="s">
        <v>106</v>
      </c>
      <c r="M75" s="7"/>
      <c r="N75" s="7"/>
      <c r="O75" s="7"/>
      <c r="P75" s="7"/>
      <c r="Q75" s="7"/>
      <c r="R75" s="7"/>
      <c r="S75" s="3" t="s">
        <v>517</v>
      </c>
      <c r="T75" s="3" t="s">
        <v>518</v>
      </c>
      <c r="U75" s="3" t="s">
        <v>109</v>
      </c>
      <c r="V75" s="3" t="s">
        <v>109</v>
      </c>
      <c r="W75" s="3" t="s">
        <v>110</v>
      </c>
      <c r="X75" s="7"/>
      <c r="Y75" s="3" t="s">
        <v>519</v>
      </c>
      <c r="Z75" s="3" t="s">
        <v>112</v>
      </c>
      <c r="AA75" s="3" t="s">
        <v>520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71.25">
      <c r="A76" s="3" t="s">
        <v>521</v>
      </c>
      <c r="B76" s="3" t="s">
        <v>96</v>
      </c>
      <c r="C76" s="3" t="s">
        <v>512</v>
      </c>
      <c r="D76" s="3" t="s">
        <v>513</v>
      </c>
      <c r="E76" s="3" t="s">
        <v>514</v>
      </c>
      <c r="F76" s="3" t="s">
        <v>522</v>
      </c>
      <c r="G76" s="3" t="s">
        <v>523</v>
      </c>
      <c r="H76" s="3" t="s">
        <v>102</v>
      </c>
      <c r="I76" s="3" t="s">
        <v>103</v>
      </c>
      <c r="J76" s="3" t="s">
        <v>344</v>
      </c>
      <c r="K76" s="3" t="s">
        <v>292</v>
      </c>
      <c r="L76" s="3" t="s">
        <v>106</v>
      </c>
      <c r="M76" s="7"/>
      <c r="N76" s="7"/>
      <c r="O76" s="7"/>
      <c r="P76" s="7"/>
      <c r="Q76" s="7"/>
      <c r="R76" s="7"/>
      <c r="S76" s="3" t="s">
        <v>517</v>
      </c>
      <c r="T76" s="3" t="s">
        <v>524</v>
      </c>
      <c r="U76" s="3" t="s">
        <v>109</v>
      </c>
      <c r="V76" s="3" t="s">
        <v>109</v>
      </c>
      <c r="W76" s="3" t="s">
        <v>110</v>
      </c>
      <c r="X76" s="7"/>
      <c r="Y76" s="3" t="s">
        <v>519</v>
      </c>
      <c r="Z76" s="3" t="s">
        <v>112</v>
      </c>
      <c r="AA76" s="3" t="s">
        <v>520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71.25">
      <c r="A77" s="3" t="s">
        <v>525</v>
      </c>
      <c r="B77" s="3" t="s">
        <v>96</v>
      </c>
      <c r="C77" s="3" t="s">
        <v>512</v>
      </c>
      <c r="D77" s="3" t="s">
        <v>513</v>
      </c>
      <c r="E77" s="3" t="s">
        <v>514</v>
      </c>
      <c r="F77" s="3" t="s">
        <v>526</v>
      </c>
      <c r="G77" s="3" t="s">
        <v>527</v>
      </c>
      <c r="H77" s="3" t="s">
        <v>102</v>
      </c>
      <c r="I77" s="3" t="s">
        <v>103</v>
      </c>
      <c r="J77" s="3" t="s">
        <v>344</v>
      </c>
      <c r="K77" s="3" t="s">
        <v>292</v>
      </c>
      <c r="L77" s="3" t="s">
        <v>106</v>
      </c>
      <c r="M77" s="7"/>
      <c r="N77" s="7"/>
      <c r="O77" s="7"/>
      <c r="P77" s="7"/>
      <c r="Q77" s="7"/>
      <c r="R77" s="7"/>
      <c r="S77" s="3" t="s">
        <v>517</v>
      </c>
      <c r="T77" s="3" t="s">
        <v>528</v>
      </c>
      <c r="U77" s="3" t="s">
        <v>109</v>
      </c>
      <c r="V77" s="3" t="s">
        <v>109</v>
      </c>
      <c r="W77" s="3" t="s">
        <v>110</v>
      </c>
      <c r="X77" s="7"/>
      <c r="Y77" s="3" t="s">
        <v>519</v>
      </c>
      <c r="Z77" s="3" t="s">
        <v>112</v>
      </c>
      <c r="AA77" s="3" t="s">
        <v>520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71.25">
      <c r="A78" s="3" t="s">
        <v>529</v>
      </c>
      <c r="B78" s="3" t="s">
        <v>96</v>
      </c>
      <c r="C78" s="3" t="s">
        <v>512</v>
      </c>
      <c r="D78" s="3" t="s">
        <v>513</v>
      </c>
      <c r="E78" s="3" t="s">
        <v>514</v>
      </c>
      <c r="F78" s="3" t="s">
        <v>530</v>
      </c>
      <c r="G78" s="3" t="s">
        <v>531</v>
      </c>
      <c r="H78" s="3" t="s">
        <v>102</v>
      </c>
      <c r="I78" s="3" t="s">
        <v>103</v>
      </c>
      <c r="J78" s="3" t="s">
        <v>150</v>
      </c>
      <c r="K78" s="3" t="s">
        <v>292</v>
      </c>
      <c r="L78" s="3" t="s">
        <v>106</v>
      </c>
      <c r="M78" s="7"/>
      <c r="N78" s="7"/>
      <c r="O78" s="7"/>
      <c r="P78" s="7"/>
      <c r="Q78" s="7"/>
      <c r="R78" s="7"/>
      <c r="S78" s="3" t="s">
        <v>517</v>
      </c>
      <c r="T78" s="3" t="s">
        <v>532</v>
      </c>
      <c r="U78" s="3" t="s">
        <v>109</v>
      </c>
      <c r="V78" s="3" t="s">
        <v>109</v>
      </c>
      <c r="W78" s="3" t="s">
        <v>110</v>
      </c>
      <c r="X78" s="7"/>
      <c r="Y78" s="3" t="s">
        <v>519</v>
      </c>
      <c r="Z78" s="3" t="s">
        <v>112</v>
      </c>
      <c r="AA78" s="3" t="s">
        <v>520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71.25">
      <c r="A79" s="3" t="s">
        <v>533</v>
      </c>
      <c r="B79" s="3" t="s">
        <v>96</v>
      </c>
      <c r="C79" s="3" t="s">
        <v>512</v>
      </c>
      <c r="D79" s="3" t="s">
        <v>513</v>
      </c>
      <c r="E79" s="3" t="s">
        <v>514</v>
      </c>
      <c r="F79" s="3" t="s">
        <v>534</v>
      </c>
      <c r="G79" s="3" t="s">
        <v>535</v>
      </c>
      <c r="H79" s="3" t="s">
        <v>102</v>
      </c>
      <c r="I79" s="3" t="s">
        <v>103</v>
      </c>
      <c r="J79" s="3" t="s">
        <v>150</v>
      </c>
      <c r="K79" s="3" t="s">
        <v>292</v>
      </c>
      <c r="L79" s="3" t="s">
        <v>106</v>
      </c>
      <c r="M79" s="7"/>
      <c r="N79" s="7"/>
      <c r="O79" s="7"/>
      <c r="P79" s="7"/>
      <c r="Q79" s="7"/>
      <c r="R79" s="7"/>
      <c r="S79" s="3" t="s">
        <v>517</v>
      </c>
      <c r="T79" s="3" t="s">
        <v>536</v>
      </c>
      <c r="U79" s="3" t="s">
        <v>109</v>
      </c>
      <c r="V79" s="3" t="s">
        <v>109</v>
      </c>
      <c r="W79" s="3" t="s">
        <v>110</v>
      </c>
      <c r="X79" s="7"/>
      <c r="Y79" s="3" t="s">
        <v>519</v>
      </c>
      <c r="Z79" s="3" t="s">
        <v>112</v>
      </c>
      <c r="AA79" s="3" t="s">
        <v>520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71.25">
      <c r="A80" s="3" t="s">
        <v>537</v>
      </c>
      <c r="B80" s="3" t="s">
        <v>96</v>
      </c>
      <c r="C80" s="3" t="s">
        <v>512</v>
      </c>
      <c r="D80" s="3" t="s">
        <v>513</v>
      </c>
      <c r="E80" s="3" t="s">
        <v>514</v>
      </c>
      <c r="F80" s="3" t="s">
        <v>538</v>
      </c>
      <c r="G80" s="3" t="s">
        <v>539</v>
      </c>
      <c r="H80" s="3" t="s">
        <v>102</v>
      </c>
      <c r="I80" s="3" t="s">
        <v>103</v>
      </c>
      <c r="J80" s="3" t="s">
        <v>150</v>
      </c>
      <c r="K80" s="3" t="s">
        <v>292</v>
      </c>
      <c r="L80" s="3" t="s">
        <v>106</v>
      </c>
      <c r="M80" s="7"/>
      <c r="N80" s="7"/>
      <c r="O80" s="7"/>
      <c r="P80" s="7"/>
      <c r="Q80" s="7"/>
      <c r="R80" s="7"/>
      <c r="S80" s="3" t="s">
        <v>517</v>
      </c>
      <c r="T80" s="3" t="s">
        <v>540</v>
      </c>
      <c r="U80" s="3" t="s">
        <v>109</v>
      </c>
      <c r="V80" s="3" t="s">
        <v>109</v>
      </c>
      <c r="W80" s="3" t="s">
        <v>110</v>
      </c>
      <c r="X80" s="7"/>
      <c r="Y80" s="3" t="s">
        <v>519</v>
      </c>
      <c r="Z80" s="3" t="s">
        <v>112</v>
      </c>
      <c r="AA80" s="3" t="s">
        <v>520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71.25">
      <c r="A81" s="3" t="s">
        <v>541</v>
      </c>
      <c r="B81" s="3" t="s">
        <v>96</v>
      </c>
      <c r="C81" s="3" t="s">
        <v>512</v>
      </c>
      <c r="D81" s="3" t="s">
        <v>513</v>
      </c>
      <c r="E81" s="3" t="s">
        <v>514</v>
      </c>
      <c r="F81" s="3" t="s">
        <v>542</v>
      </c>
      <c r="G81" s="3" t="s">
        <v>543</v>
      </c>
      <c r="H81" s="3" t="s">
        <v>102</v>
      </c>
      <c r="I81" s="3" t="s">
        <v>103</v>
      </c>
      <c r="J81" s="3" t="s">
        <v>150</v>
      </c>
      <c r="K81" s="3" t="s">
        <v>292</v>
      </c>
      <c r="L81" s="3" t="s">
        <v>106</v>
      </c>
      <c r="M81" s="7"/>
      <c r="N81" s="7"/>
      <c r="O81" s="7"/>
      <c r="P81" s="7"/>
      <c r="Q81" s="7"/>
      <c r="R81" s="7"/>
      <c r="S81" s="3" t="s">
        <v>517</v>
      </c>
      <c r="T81" s="3" t="s">
        <v>544</v>
      </c>
      <c r="U81" s="3" t="s">
        <v>109</v>
      </c>
      <c r="V81" s="3" t="s">
        <v>109</v>
      </c>
      <c r="W81" s="3" t="s">
        <v>110</v>
      </c>
      <c r="X81" s="7"/>
      <c r="Y81" s="3" t="s">
        <v>519</v>
      </c>
      <c r="Z81" s="3" t="s">
        <v>112</v>
      </c>
      <c r="AA81" s="3" t="s">
        <v>520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71.25">
      <c r="A82" s="3" t="s">
        <v>545</v>
      </c>
      <c r="B82" s="3" t="s">
        <v>96</v>
      </c>
      <c r="C82" s="3" t="s">
        <v>512</v>
      </c>
      <c r="D82" s="3" t="s">
        <v>513</v>
      </c>
      <c r="E82" s="3" t="s">
        <v>514</v>
      </c>
      <c r="F82" s="3" t="s">
        <v>546</v>
      </c>
      <c r="G82" s="3" t="s">
        <v>547</v>
      </c>
      <c r="H82" s="3" t="s">
        <v>102</v>
      </c>
      <c r="I82" s="3" t="s">
        <v>103</v>
      </c>
      <c r="J82" s="3" t="s">
        <v>150</v>
      </c>
      <c r="K82" s="3" t="s">
        <v>292</v>
      </c>
      <c r="L82" s="3" t="s">
        <v>106</v>
      </c>
      <c r="M82" s="7"/>
      <c r="N82" s="7"/>
      <c r="O82" s="7"/>
      <c r="P82" s="7"/>
      <c r="Q82" s="7"/>
      <c r="R82" s="7"/>
      <c r="S82" s="3" t="s">
        <v>517</v>
      </c>
      <c r="T82" s="3" t="s">
        <v>548</v>
      </c>
      <c r="U82" s="3" t="s">
        <v>109</v>
      </c>
      <c r="V82" s="3" t="s">
        <v>109</v>
      </c>
      <c r="W82" s="3" t="s">
        <v>110</v>
      </c>
      <c r="X82" s="7"/>
      <c r="Y82" s="3" t="s">
        <v>519</v>
      </c>
      <c r="Z82" s="3" t="s">
        <v>112</v>
      </c>
      <c r="AA82" s="3" t="s">
        <v>520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71.25">
      <c r="A83" s="3" t="s">
        <v>549</v>
      </c>
      <c r="B83" s="3" t="s">
        <v>96</v>
      </c>
      <c r="C83" s="3" t="s">
        <v>512</v>
      </c>
      <c r="D83" s="3" t="s">
        <v>513</v>
      </c>
      <c r="E83" s="3" t="s">
        <v>514</v>
      </c>
      <c r="F83" s="3" t="s">
        <v>550</v>
      </c>
      <c r="G83" s="3" t="s">
        <v>551</v>
      </c>
      <c r="H83" s="3" t="s">
        <v>102</v>
      </c>
      <c r="I83" s="3" t="s">
        <v>103</v>
      </c>
      <c r="J83" s="3" t="s">
        <v>150</v>
      </c>
      <c r="K83" s="3" t="s">
        <v>292</v>
      </c>
      <c r="L83" s="3" t="s">
        <v>106</v>
      </c>
      <c r="M83" s="7"/>
      <c r="N83" s="7"/>
      <c r="O83" s="7"/>
      <c r="P83" s="7"/>
      <c r="Q83" s="7"/>
      <c r="R83" s="7"/>
      <c r="S83" s="3" t="s">
        <v>517</v>
      </c>
      <c r="T83" s="3" t="s">
        <v>552</v>
      </c>
      <c r="U83" s="3" t="s">
        <v>109</v>
      </c>
      <c r="V83" s="3" t="s">
        <v>109</v>
      </c>
      <c r="W83" s="3" t="s">
        <v>110</v>
      </c>
      <c r="X83" s="7"/>
      <c r="Y83" s="3" t="s">
        <v>519</v>
      </c>
      <c r="Z83" s="3" t="s">
        <v>112</v>
      </c>
      <c r="AA83" s="3" t="s">
        <v>520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71.25">
      <c r="A84" s="3" t="s">
        <v>553</v>
      </c>
      <c r="B84" s="3" t="s">
        <v>96</v>
      </c>
      <c r="C84" s="3" t="s">
        <v>512</v>
      </c>
      <c r="D84" s="3" t="s">
        <v>513</v>
      </c>
      <c r="E84" s="3" t="s">
        <v>514</v>
      </c>
      <c r="F84" s="3" t="s">
        <v>554</v>
      </c>
      <c r="G84" s="3" t="s">
        <v>555</v>
      </c>
      <c r="H84" s="3" t="s">
        <v>102</v>
      </c>
      <c r="I84" s="3" t="s">
        <v>103</v>
      </c>
      <c r="J84" s="3" t="s">
        <v>150</v>
      </c>
      <c r="K84" s="3" t="s">
        <v>292</v>
      </c>
      <c r="L84" s="3" t="s">
        <v>106</v>
      </c>
      <c r="M84" s="7">
        <v>0.3</v>
      </c>
      <c r="N84" s="7"/>
      <c r="O84" s="7"/>
      <c r="P84" s="7"/>
      <c r="Q84" s="7"/>
      <c r="R84" s="7"/>
      <c r="S84" s="3" t="s">
        <v>517</v>
      </c>
      <c r="T84" s="3" t="s">
        <v>556</v>
      </c>
      <c r="U84" s="3" t="s">
        <v>109</v>
      </c>
      <c r="V84" s="3" t="s">
        <v>109</v>
      </c>
      <c r="W84" s="3" t="s">
        <v>110</v>
      </c>
      <c r="X84" s="7"/>
      <c r="Y84" s="3" t="s">
        <v>519</v>
      </c>
      <c r="Z84" s="3" t="s">
        <v>112</v>
      </c>
      <c r="AA84" s="3" t="s">
        <v>557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71.25">
      <c r="A85" s="3" t="s">
        <v>558</v>
      </c>
      <c r="B85" s="3" t="s">
        <v>96</v>
      </c>
      <c r="C85" s="3" t="s">
        <v>512</v>
      </c>
      <c r="D85" s="3" t="s">
        <v>513</v>
      </c>
      <c r="E85" s="3" t="s">
        <v>514</v>
      </c>
      <c r="F85" s="3" t="s">
        <v>559</v>
      </c>
      <c r="G85" s="3" t="s">
        <v>560</v>
      </c>
      <c r="H85" s="3" t="s">
        <v>102</v>
      </c>
      <c r="I85" s="3" t="s">
        <v>103</v>
      </c>
      <c r="J85" s="3" t="s">
        <v>150</v>
      </c>
      <c r="K85" s="3" t="s">
        <v>292</v>
      </c>
      <c r="L85" s="3" t="s">
        <v>106</v>
      </c>
      <c r="M85" s="7">
        <v>1</v>
      </c>
      <c r="N85" s="7"/>
      <c r="O85" s="7"/>
      <c r="P85" s="7"/>
      <c r="Q85" s="7"/>
      <c r="R85" s="7"/>
      <c r="S85" s="3" t="s">
        <v>517</v>
      </c>
      <c r="T85" s="3" t="s">
        <v>561</v>
      </c>
      <c r="U85" s="3" t="s">
        <v>109</v>
      </c>
      <c r="V85" s="3" t="s">
        <v>109</v>
      </c>
      <c r="W85" s="3" t="s">
        <v>110</v>
      </c>
      <c r="X85" s="7"/>
      <c r="Y85" s="3" t="s">
        <v>519</v>
      </c>
      <c r="Z85" s="3" t="s">
        <v>112</v>
      </c>
      <c r="AA85" s="3" t="s">
        <v>562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85.5">
      <c r="A86" s="3" t="s">
        <v>563</v>
      </c>
      <c r="B86" s="3" t="s">
        <v>96</v>
      </c>
      <c r="C86" s="3" t="s">
        <v>564</v>
      </c>
      <c r="D86" s="3" t="s">
        <v>565</v>
      </c>
      <c r="E86" s="3" t="s">
        <v>565</v>
      </c>
      <c r="F86" s="3" t="s">
        <v>566</v>
      </c>
      <c r="G86" s="3" t="s">
        <v>567</v>
      </c>
      <c r="H86" s="3" t="s">
        <v>102</v>
      </c>
      <c r="I86" s="3" t="s">
        <v>103</v>
      </c>
      <c r="J86" s="3" t="s">
        <v>150</v>
      </c>
      <c r="K86" s="3" t="s">
        <v>105</v>
      </c>
      <c r="L86" s="3" t="s">
        <v>568</v>
      </c>
      <c r="M86" s="7">
        <v>0.373</v>
      </c>
      <c r="N86" s="7"/>
      <c r="O86" s="7"/>
      <c r="P86" s="7">
        <v>1.1359999999999999</v>
      </c>
      <c r="Q86" s="7"/>
      <c r="R86" s="7"/>
      <c r="S86" s="3" t="s">
        <v>569</v>
      </c>
      <c r="T86" s="3" t="s">
        <v>570</v>
      </c>
      <c r="U86" s="3" t="s">
        <v>109</v>
      </c>
      <c r="V86" s="3" t="s">
        <v>109</v>
      </c>
      <c r="W86" s="3" t="s">
        <v>110</v>
      </c>
      <c r="X86" s="7"/>
      <c r="Y86" s="3" t="s">
        <v>571</v>
      </c>
      <c r="Z86" s="3" t="s">
        <v>112</v>
      </c>
      <c r="AA86" s="3" t="s">
        <v>572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85.5">
      <c r="A87" s="3" t="s">
        <v>573</v>
      </c>
      <c r="B87" s="3" t="s">
        <v>96</v>
      </c>
      <c r="C87" s="3" t="s">
        <v>564</v>
      </c>
      <c r="D87" s="3" t="s">
        <v>565</v>
      </c>
      <c r="E87" s="3" t="s">
        <v>565</v>
      </c>
      <c r="F87" s="3" t="s">
        <v>574</v>
      </c>
      <c r="G87" s="3" t="s">
        <v>575</v>
      </c>
      <c r="H87" s="3" t="s">
        <v>102</v>
      </c>
      <c r="I87" s="3" t="s">
        <v>103</v>
      </c>
      <c r="J87" s="3" t="s">
        <v>150</v>
      </c>
      <c r="K87" s="3" t="s">
        <v>105</v>
      </c>
      <c r="L87" s="3" t="s">
        <v>568</v>
      </c>
      <c r="M87" s="7">
        <v>0.373</v>
      </c>
      <c r="N87" s="7"/>
      <c r="O87" s="7"/>
      <c r="P87" s="7">
        <v>1.59</v>
      </c>
      <c r="Q87" s="7"/>
      <c r="R87" s="7"/>
      <c r="S87" s="3" t="s">
        <v>569</v>
      </c>
      <c r="T87" s="3" t="s">
        <v>576</v>
      </c>
      <c r="U87" s="3" t="s">
        <v>109</v>
      </c>
      <c r="V87" s="3" t="s">
        <v>109</v>
      </c>
      <c r="W87" s="3" t="s">
        <v>110</v>
      </c>
      <c r="X87" s="7"/>
      <c r="Y87" s="3" t="s">
        <v>571</v>
      </c>
      <c r="Z87" s="3" t="s">
        <v>112</v>
      </c>
      <c r="AA87" s="3" t="s">
        <v>577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85.5">
      <c r="A88" s="3" t="s">
        <v>578</v>
      </c>
      <c r="B88" s="3" t="s">
        <v>96</v>
      </c>
      <c r="C88" s="3" t="s">
        <v>564</v>
      </c>
      <c r="D88" s="3" t="s">
        <v>565</v>
      </c>
      <c r="E88" s="3" t="s">
        <v>565</v>
      </c>
      <c r="F88" s="3" t="s">
        <v>579</v>
      </c>
      <c r="G88" s="3" t="s">
        <v>580</v>
      </c>
      <c r="H88" s="3" t="s">
        <v>102</v>
      </c>
      <c r="I88" s="3" t="s">
        <v>103</v>
      </c>
      <c r="J88" s="3" t="s">
        <v>150</v>
      </c>
      <c r="K88" s="3" t="s">
        <v>105</v>
      </c>
      <c r="L88" s="3" t="s">
        <v>568</v>
      </c>
      <c r="M88" s="7">
        <v>0.373</v>
      </c>
      <c r="N88" s="7"/>
      <c r="O88" s="7"/>
      <c r="P88" s="7">
        <v>3.407</v>
      </c>
      <c r="Q88" s="7"/>
      <c r="R88" s="7"/>
      <c r="S88" s="3" t="s">
        <v>569</v>
      </c>
      <c r="T88" s="3" t="s">
        <v>581</v>
      </c>
      <c r="U88" s="3" t="s">
        <v>109</v>
      </c>
      <c r="V88" s="3" t="s">
        <v>109</v>
      </c>
      <c r="W88" s="3" t="s">
        <v>110</v>
      </c>
      <c r="X88" s="7"/>
      <c r="Y88" s="3" t="s">
        <v>571</v>
      </c>
      <c r="Z88" s="3" t="s">
        <v>112</v>
      </c>
      <c r="AA88" s="3" t="s">
        <v>582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85.5">
      <c r="A89" s="3" t="s">
        <v>583</v>
      </c>
      <c r="B89" s="3" t="s">
        <v>96</v>
      </c>
      <c r="C89" s="3" t="s">
        <v>564</v>
      </c>
      <c r="D89" s="3" t="s">
        <v>565</v>
      </c>
      <c r="E89" s="3" t="s">
        <v>565</v>
      </c>
      <c r="F89" s="3" t="s">
        <v>584</v>
      </c>
      <c r="G89" s="3" t="s">
        <v>585</v>
      </c>
      <c r="H89" s="3" t="s">
        <v>102</v>
      </c>
      <c r="I89" s="3" t="s">
        <v>103</v>
      </c>
      <c r="J89" s="3" t="s">
        <v>150</v>
      </c>
      <c r="K89" s="3" t="s">
        <v>105</v>
      </c>
      <c r="L89" s="3" t="s">
        <v>568</v>
      </c>
      <c r="M89" s="7">
        <v>0.373</v>
      </c>
      <c r="N89" s="7"/>
      <c r="O89" s="7"/>
      <c r="P89" s="7">
        <v>4.5419999999999998</v>
      </c>
      <c r="Q89" s="7"/>
      <c r="R89" s="7"/>
      <c r="S89" s="3" t="s">
        <v>569</v>
      </c>
      <c r="T89" s="3" t="s">
        <v>586</v>
      </c>
      <c r="U89" s="3" t="s">
        <v>109</v>
      </c>
      <c r="V89" s="3" t="s">
        <v>109</v>
      </c>
      <c r="W89" s="3" t="s">
        <v>110</v>
      </c>
      <c r="X89" s="7"/>
      <c r="Y89" s="3" t="s">
        <v>571</v>
      </c>
      <c r="Z89" s="3" t="s">
        <v>112</v>
      </c>
      <c r="AA89" s="3" t="s">
        <v>587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99.75">
      <c r="A90" s="3" t="s">
        <v>588</v>
      </c>
      <c r="B90" s="3" t="s">
        <v>96</v>
      </c>
      <c r="C90" s="3" t="s">
        <v>564</v>
      </c>
      <c r="D90" s="3" t="s">
        <v>565</v>
      </c>
      <c r="E90" s="3" t="s">
        <v>565</v>
      </c>
      <c r="F90" s="3" t="s">
        <v>589</v>
      </c>
      <c r="G90" s="3" t="s">
        <v>590</v>
      </c>
      <c r="H90" s="3" t="s">
        <v>102</v>
      </c>
      <c r="I90" s="3" t="s">
        <v>103</v>
      </c>
      <c r="J90" s="3" t="s">
        <v>150</v>
      </c>
      <c r="K90" s="3" t="s">
        <v>105</v>
      </c>
      <c r="L90" s="3" t="s">
        <v>568</v>
      </c>
      <c r="M90" s="7">
        <v>0.55900000000000005</v>
      </c>
      <c r="N90" s="7"/>
      <c r="O90" s="7"/>
      <c r="P90" s="7">
        <v>1.1359999999999999</v>
      </c>
      <c r="Q90" s="7"/>
      <c r="R90" s="7"/>
      <c r="S90" s="3" t="s">
        <v>591</v>
      </c>
      <c r="T90" s="3" t="s">
        <v>592</v>
      </c>
      <c r="U90" s="3" t="s">
        <v>109</v>
      </c>
      <c r="V90" s="3" t="s">
        <v>109</v>
      </c>
      <c r="W90" s="3" t="s">
        <v>110</v>
      </c>
      <c r="X90" s="7"/>
      <c r="Y90" s="3" t="s">
        <v>571</v>
      </c>
      <c r="Z90" s="3" t="s">
        <v>112</v>
      </c>
      <c r="AA90" s="3" t="s">
        <v>593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85.5">
      <c r="A91" s="3" t="s">
        <v>594</v>
      </c>
      <c r="B91" s="3" t="s">
        <v>96</v>
      </c>
      <c r="C91" s="3" t="s">
        <v>564</v>
      </c>
      <c r="D91" s="3" t="s">
        <v>565</v>
      </c>
      <c r="E91" s="3" t="s">
        <v>565</v>
      </c>
      <c r="F91" s="3" t="s">
        <v>595</v>
      </c>
      <c r="G91" s="3" t="s">
        <v>596</v>
      </c>
      <c r="H91" s="3" t="s">
        <v>102</v>
      </c>
      <c r="I91" s="3" t="s">
        <v>103</v>
      </c>
      <c r="J91" s="3" t="s">
        <v>150</v>
      </c>
      <c r="K91" s="3" t="s">
        <v>105</v>
      </c>
      <c r="L91" s="3" t="s">
        <v>568</v>
      </c>
      <c r="M91" s="7">
        <v>0.55900000000000005</v>
      </c>
      <c r="N91" s="7"/>
      <c r="O91" s="7"/>
      <c r="P91" s="7">
        <v>1.59</v>
      </c>
      <c r="Q91" s="7"/>
      <c r="R91" s="7"/>
      <c r="S91" s="3" t="s">
        <v>591</v>
      </c>
      <c r="T91" s="3" t="s">
        <v>597</v>
      </c>
      <c r="U91" s="3" t="s">
        <v>109</v>
      </c>
      <c r="V91" s="3" t="s">
        <v>109</v>
      </c>
      <c r="W91" s="3" t="s">
        <v>110</v>
      </c>
      <c r="X91" s="7"/>
      <c r="Y91" s="3" t="s">
        <v>571</v>
      </c>
      <c r="Z91" s="3" t="s">
        <v>112</v>
      </c>
      <c r="AA91" s="3" t="s">
        <v>598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99.75">
      <c r="A92" s="3" t="s">
        <v>599</v>
      </c>
      <c r="B92" s="3" t="s">
        <v>96</v>
      </c>
      <c r="C92" s="3" t="s">
        <v>564</v>
      </c>
      <c r="D92" s="3" t="s">
        <v>565</v>
      </c>
      <c r="E92" s="3" t="s">
        <v>565</v>
      </c>
      <c r="F92" s="3" t="s">
        <v>600</v>
      </c>
      <c r="G92" s="3" t="s">
        <v>601</v>
      </c>
      <c r="H92" s="3" t="s">
        <v>102</v>
      </c>
      <c r="I92" s="3" t="s">
        <v>103</v>
      </c>
      <c r="J92" s="3" t="s">
        <v>150</v>
      </c>
      <c r="K92" s="3" t="s">
        <v>105</v>
      </c>
      <c r="L92" s="3" t="s">
        <v>568</v>
      </c>
      <c r="M92" s="7">
        <v>0.55900000000000005</v>
      </c>
      <c r="N92" s="7"/>
      <c r="O92" s="7"/>
      <c r="P92" s="7">
        <v>2.2709999999999999</v>
      </c>
      <c r="Q92" s="7"/>
      <c r="R92" s="7"/>
      <c r="S92" s="3" t="s">
        <v>591</v>
      </c>
      <c r="T92" s="3" t="s">
        <v>602</v>
      </c>
      <c r="U92" s="3" t="s">
        <v>109</v>
      </c>
      <c r="V92" s="3" t="s">
        <v>109</v>
      </c>
      <c r="W92" s="3" t="s">
        <v>110</v>
      </c>
      <c r="X92" s="7"/>
      <c r="Y92" s="3" t="s">
        <v>571</v>
      </c>
      <c r="Z92" s="3" t="s">
        <v>112</v>
      </c>
      <c r="AA92" s="3" t="s">
        <v>603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99.75">
      <c r="A93" s="3" t="s">
        <v>604</v>
      </c>
      <c r="B93" s="3" t="s">
        <v>96</v>
      </c>
      <c r="C93" s="3" t="s">
        <v>564</v>
      </c>
      <c r="D93" s="3" t="s">
        <v>565</v>
      </c>
      <c r="E93" s="3" t="s">
        <v>565</v>
      </c>
      <c r="F93" s="3" t="s">
        <v>605</v>
      </c>
      <c r="G93" s="3" t="s">
        <v>606</v>
      </c>
      <c r="H93" s="3" t="s">
        <v>102</v>
      </c>
      <c r="I93" s="3" t="s">
        <v>103</v>
      </c>
      <c r="J93" s="3" t="s">
        <v>150</v>
      </c>
      <c r="K93" s="3" t="s">
        <v>105</v>
      </c>
      <c r="L93" s="3" t="s">
        <v>568</v>
      </c>
      <c r="M93" s="7">
        <v>0.55900000000000005</v>
      </c>
      <c r="N93" s="7"/>
      <c r="O93" s="7"/>
      <c r="P93" s="7">
        <v>3.407</v>
      </c>
      <c r="Q93" s="7"/>
      <c r="R93" s="7"/>
      <c r="S93" s="3" t="s">
        <v>591</v>
      </c>
      <c r="T93" s="3" t="s">
        <v>607</v>
      </c>
      <c r="U93" s="3" t="s">
        <v>109</v>
      </c>
      <c r="V93" s="3" t="s">
        <v>109</v>
      </c>
      <c r="W93" s="3" t="s">
        <v>110</v>
      </c>
      <c r="X93" s="7"/>
      <c r="Y93" s="3" t="s">
        <v>571</v>
      </c>
      <c r="Z93" s="3" t="s">
        <v>112</v>
      </c>
      <c r="AA93" s="3" t="s">
        <v>608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99.75">
      <c r="A94" s="3" t="s">
        <v>609</v>
      </c>
      <c r="B94" s="3" t="s">
        <v>96</v>
      </c>
      <c r="C94" s="3" t="s">
        <v>564</v>
      </c>
      <c r="D94" s="3" t="s">
        <v>565</v>
      </c>
      <c r="E94" s="3" t="s">
        <v>565</v>
      </c>
      <c r="F94" s="3" t="s">
        <v>610</v>
      </c>
      <c r="G94" s="3" t="s">
        <v>611</v>
      </c>
      <c r="H94" s="3" t="s">
        <v>102</v>
      </c>
      <c r="I94" s="3" t="s">
        <v>103</v>
      </c>
      <c r="J94" s="3" t="s">
        <v>150</v>
      </c>
      <c r="K94" s="3" t="s">
        <v>105</v>
      </c>
      <c r="L94" s="3" t="s">
        <v>568</v>
      </c>
      <c r="M94" s="7">
        <v>0.55900000000000005</v>
      </c>
      <c r="N94" s="7"/>
      <c r="O94" s="7"/>
      <c r="P94" s="7">
        <v>0.68100000000000005</v>
      </c>
      <c r="Q94" s="7"/>
      <c r="R94" s="7"/>
      <c r="S94" s="3" t="s">
        <v>591</v>
      </c>
      <c r="T94" s="3" t="s">
        <v>612</v>
      </c>
      <c r="U94" s="3" t="s">
        <v>109</v>
      </c>
      <c r="V94" s="3" t="s">
        <v>109</v>
      </c>
      <c r="W94" s="3" t="s">
        <v>110</v>
      </c>
      <c r="X94" s="7"/>
      <c r="Y94" s="3" t="s">
        <v>571</v>
      </c>
      <c r="Z94" s="3" t="s">
        <v>112</v>
      </c>
      <c r="AA94" s="3" t="s">
        <v>613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85.5">
      <c r="A95" s="3" t="s">
        <v>614</v>
      </c>
      <c r="B95" s="3" t="s">
        <v>96</v>
      </c>
      <c r="C95" s="3" t="s">
        <v>564</v>
      </c>
      <c r="D95" s="3" t="s">
        <v>565</v>
      </c>
      <c r="E95" s="3" t="s">
        <v>565</v>
      </c>
      <c r="F95" s="3" t="s">
        <v>615</v>
      </c>
      <c r="G95" s="3" t="s">
        <v>616</v>
      </c>
      <c r="H95" s="3" t="s">
        <v>102</v>
      </c>
      <c r="I95" s="3" t="s">
        <v>103</v>
      </c>
      <c r="J95" s="3" t="s">
        <v>150</v>
      </c>
      <c r="K95" s="3" t="s">
        <v>105</v>
      </c>
      <c r="L95" s="3" t="s">
        <v>568</v>
      </c>
      <c r="M95" s="7">
        <v>0.55900000000000005</v>
      </c>
      <c r="N95" s="7"/>
      <c r="O95" s="7"/>
      <c r="P95" s="7">
        <v>1.59</v>
      </c>
      <c r="Q95" s="7"/>
      <c r="R95" s="7"/>
      <c r="S95" s="3" t="s">
        <v>591</v>
      </c>
      <c r="T95" s="3" t="s">
        <v>617</v>
      </c>
      <c r="U95" s="3" t="s">
        <v>109</v>
      </c>
      <c r="V95" s="3" t="s">
        <v>109</v>
      </c>
      <c r="W95" s="3" t="s">
        <v>110</v>
      </c>
      <c r="X95" s="7"/>
      <c r="Y95" s="3" t="s">
        <v>571</v>
      </c>
      <c r="Z95" s="3" t="s">
        <v>112</v>
      </c>
      <c r="AA95" s="3" t="s">
        <v>598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85.5">
      <c r="A96" s="3" t="s">
        <v>618</v>
      </c>
      <c r="B96" s="3" t="s">
        <v>96</v>
      </c>
      <c r="C96" s="3" t="s">
        <v>564</v>
      </c>
      <c r="D96" s="3" t="s">
        <v>565</v>
      </c>
      <c r="E96" s="3" t="s">
        <v>565</v>
      </c>
      <c r="F96" s="3" t="s">
        <v>619</v>
      </c>
      <c r="G96" s="3" t="s">
        <v>620</v>
      </c>
      <c r="H96" s="3" t="s">
        <v>102</v>
      </c>
      <c r="I96" s="3" t="s">
        <v>103</v>
      </c>
      <c r="J96" s="3" t="s">
        <v>150</v>
      </c>
      <c r="K96" s="3" t="s">
        <v>105</v>
      </c>
      <c r="L96" s="3" t="s">
        <v>568</v>
      </c>
      <c r="M96" s="7">
        <v>1.119</v>
      </c>
      <c r="N96" s="7"/>
      <c r="O96" s="7"/>
      <c r="P96" s="7">
        <v>1.1359999999999999</v>
      </c>
      <c r="Q96" s="7"/>
      <c r="R96" s="7"/>
      <c r="S96" s="3" t="s">
        <v>621</v>
      </c>
      <c r="T96" s="3" t="s">
        <v>622</v>
      </c>
      <c r="U96" s="3" t="s">
        <v>109</v>
      </c>
      <c r="V96" s="3" t="s">
        <v>109</v>
      </c>
      <c r="W96" s="3" t="s">
        <v>110</v>
      </c>
      <c r="X96" s="7"/>
      <c r="Y96" s="3" t="s">
        <v>571</v>
      </c>
      <c r="Z96" s="3" t="s">
        <v>112</v>
      </c>
      <c r="AA96" s="3" t="s">
        <v>623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85.5">
      <c r="A97" s="3" t="s">
        <v>624</v>
      </c>
      <c r="B97" s="3" t="s">
        <v>96</v>
      </c>
      <c r="C97" s="3" t="s">
        <v>564</v>
      </c>
      <c r="D97" s="3" t="s">
        <v>565</v>
      </c>
      <c r="E97" s="3" t="s">
        <v>565</v>
      </c>
      <c r="F97" s="3" t="s">
        <v>625</v>
      </c>
      <c r="G97" s="3" t="s">
        <v>626</v>
      </c>
      <c r="H97" s="3" t="s">
        <v>102</v>
      </c>
      <c r="I97" s="3" t="s">
        <v>103</v>
      </c>
      <c r="J97" s="3" t="s">
        <v>150</v>
      </c>
      <c r="K97" s="3" t="s">
        <v>105</v>
      </c>
      <c r="L97" s="3" t="s">
        <v>568</v>
      </c>
      <c r="M97" s="7">
        <v>1.119</v>
      </c>
      <c r="N97" s="7"/>
      <c r="O97" s="7"/>
      <c r="P97" s="7">
        <v>1.59</v>
      </c>
      <c r="Q97" s="7"/>
      <c r="R97" s="7"/>
      <c r="S97" s="3" t="s">
        <v>621</v>
      </c>
      <c r="T97" s="3" t="s">
        <v>627</v>
      </c>
      <c r="U97" s="3" t="s">
        <v>109</v>
      </c>
      <c r="V97" s="3" t="s">
        <v>109</v>
      </c>
      <c r="W97" s="3" t="s">
        <v>110</v>
      </c>
      <c r="X97" s="7"/>
      <c r="Y97" s="3" t="s">
        <v>571</v>
      </c>
      <c r="Z97" s="3" t="s">
        <v>112</v>
      </c>
      <c r="AA97" s="3" t="s">
        <v>628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85.5">
      <c r="A98" s="3" t="s">
        <v>629</v>
      </c>
      <c r="B98" s="3" t="s">
        <v>96</v>
      </c>
      <c r="C98" s="3" t="s">
        <v>564</v>
      </c>
      <c r="D98" s="3" t="s">
        <v>565</v>
      </c>
      <c r="E98" s="3" t="s">
        <v>565</v>
      </c>
      <c r="F98" s="3" t="s">
        <v>630</v>
      </c>
      <c r="G98" s="3" t="s">
        <v>631</v>
      </c>
      <c r="H98" s="3" t="s">
        <v>102</v>
      </c>
      <c r="I98" s="3" t="s">
        <v>103</v>
      </c>
      <c r="J98" s="3" t="s">
        <v>150</v>
      </c>
      <c r="K98" s="3" t="s">
        <v>105</v>
      </c>
      <c r="L98" s="3" t="s">
        <v>568</v>
      </c>
      <c r="M98" s="7">
        <v>1.119</v>
      </c>
      <c r="N98" s="7"/>
      <c r="O98" s="7"/>
      <c r="P98" s="7">
        <v>2.2709999999999999</v>
      </c>
      <c r="Q98" s="7"/>
      <c r="R98" s="7"/>
      <c r="S98" s="3" t="s">
        <v>621</v>
      </c>
      <c r="T98" s="3" t="s">
        <v>632</v>
      </c>
      <c r="U98" s="3" t="s">
        <v>109</v>
      </c>
      <c r="V98" s="3" t="s">
        <v>109</v>
      </c>
      <c r="W98" s="3" t="s">
        <v>110</v>
      </c>
      <c r="X98" s="7"/>
      <c r="Y98" s="3" t="s">
        <v>571</v>
      </c>
      <c r="Z98" s="3" t="s">
        <v>112</v>
      </c>
      <c r="AA98" s="3" t="s">
        <v>633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85.5">
      <c r="A99" s="3" t="s">
        <v>634</v>
      </c>
      <c r="B99" s="3" t="s">
        <v>96</v>
      </c>
      <c r="C99" s="3" t="s">
        <v>564</v>
      </c>
      <c r="D99" s="3" t="s">
        <v>565</v>
      </c>
      <c r="E99" s="3" t="s">
        <v>565</v>
      </c>
      <c r="F99" s="3" t="s">
        <v>635</v>
      </c>
      <c r="G99" s="3" t="s">
        <v>636</v>
      </c>
      <c r="H99" s="3" t="s">
        <v>102</v>
      </c>
      <c r="I99" s="3" t="s">
        <v>103</v>
      </c>
      <c r="J99" s="3" t="s">
        <v>150</v>
      </c>
      <c r="K99" s="3" t="s">
        <v>105</v>
      </c>
      <c r="L99" s="3" t="s">
        <v>568</v>
      </c>
      <c r="M99" s="7">
        <v>1.119</v>
      </c>
      <c r="N99" s="7"/>
      <c r="O99" s="7"/>
      <c r="P99" s="7">
        <v>3.407</v>
      </c>
      <c r="Q99" s="7"/>
      <c r="R99" s="7"/>
      <c r="S99" s="3" t="s">
        <v>621</v>
      </c>
      <c r="T99" s="3" t="s">
        <v>637</v>
      </c>
      <c r="U99" s="3" t="s">
        <v>109</v>
      </c>
      <c r="V99" s="3" t="s">
        <v>109</v>
      </c>
      <c r="W99" s="3" t="s">
        <v>110</v>
      </c>
      <c r="X99" s="7"/>
      <c r="Y99" s="3" t="s">
        <v>571</v>
      </c>
      <c r="Z99" s="3" t="s">
        <v>112</v>
      </c>
      <c r="AA99" s="3" t="s">
        <v>638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85.5">
      <c r="A100" s="3" t="s">
        <v>639</v>
      </c>
      <c r="B100" s="3" t="s">
        <v>96</v>
      </c>
      <c r="C100" s="3" t="s">
        <v>564</v>
      </c>
      <c r="D100" s="3" t="s">
        <v>565</v>
      </c>
      <c r="E100" s="3" t="s">
        <v>565</v>
      </c>
      <c r="F100" s="3" t="s">
        <v>640</v>
      </c>
      <c r="G100" s="3" t="s">
        <v>641</v>
      </c>
      <c r="H100" s="3" t="s">
        <v>102</v>
      </c>
      <c r="I100" s="3" t="s">
        <v>103</v>
      </c>
      <c r="J100" s="3" t="s">
        <v>150</v>
      </c>
      <c r="K100" s="3" t="s">
        <v>105</v>
      </c>
      <c r="L100" s="3" t="s">
        <v>568</v>
      </c>
      <c r="M100" s="7">
        <v>1.119</v>
      </c>
      <c r="N100" s="7"/>
      <c r="O100" s="7"/>
      <c r="P100" s="7">
        <v>5.6779999999999999</v>
      </c>
      <c r="Q100" s="7"/>
      <c r="R100" s="7"/>
      <c r="S100" s="3" t="s">
        <v>621</v>
      </c>
      <c r="T100" s="3" t="s">
        <v>642</v>
      </c>
      <c r="U100" s="3" t="s">
        <v>109</v>
      </c>
      <c r="V100" s="3" t="s">
        <v>109</v>
      </c>
      <c r="W100" s="3" t="s">
        <v>110</v>
      </c>
      <c r="X100" s="7"/>
      <c r="Y100" s="3" t="s">
        <v>571</v>
      </c>
      <c r="Z100" s="3" t="s">
        <v>112</v>
      </c>
      <c r="AA100" s="3" t="s">
        <v>643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85.5">
      <c r="A101" s="3" t="s">
        <v>644</v>
      </c>
      <c r="B101" s="3" t="s">
        <v>96</v>
      </c>
      <c r="C101" s="3" t="s">
        <v>564</v>
      </c>
      <c r="D101" s="3" t="s">
        <v>565</v>
      </c>
      <c r="E101" s="3" t="s">
        <v>565</v>
      </c>
      <c r="F101" s="3" t="s">
        <v>645</v>
      </c>
      <c r="G101" s="3" t="s">
        <v>646</v>
      </c>
      <c r="H101" s="3" t="s">
        <v>102</v>
      </c>
      <c r="I101" s="3" t="s">
        <v>103</v>
      </c>
      <c r="J101" s="3" t="s">
        <v>150</v>
      </c>
      <c r="K101" s="3" t="s">
        <v>105</v>
      </c>
      <c r="L101" s="3" t="s">
        <v>568</v>
      </c>
      <c r="M101" s="7">
        <v>1.119</v>
      </c>
      <c r="N101" s="7"/>
      <c r="O101" s="7"/>
      <c r="P101" s="7">
        <v>7.9489999999999998</v>
      </c>
      <c r="Q101" s="7"/>
      <c r="R101" s="7"/>
      <c r="S101" s="3" t="s">
        <v>621</v>
      </c>
      <c r="T101" s="3" t="s">
        <v>647</v>
      </c>
      <c r="U101" s="3" t="s">
        <v>109</v>
      </c>
      <c r="V101" s="3" t="s">
        <v>109</v>
      </c>
      <c r="W101" s="3" t="s">
        <v>110</v>
      </c>
      <c r="X101" s="7"/>
      <c r="Y101" s="3" t="s">
        <v>571</v>
      </c>
      <c r="Z101" s="3" t="s">
        <v>112</v>
      </c>
      <c r="AA101" s="3" t="s">
        <v>648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28.5">
      <c r="A102" s="4" t="s">
        <v>649</v>
      </c>
      <c r="B102" s="4" t="s">
        <v>650</v>
      </c>
      <c r="C102" s="4" t="s">
        <v>97</v>
      </c>
      <c r="D102" s="4" t="s">
        <v>246</v>
      </c>
      <c r="E102" s="4" t="s">
        <v>651</v>
      </c>
      <c r="F102" s="4" t="s">
        <v>652</v>
      </c>
      <c r="G102" s="4" t="s">
        <v>653</v>
      </c>
      <c r="H102" s="4" t="s">
        <v>250</v>
      </c>
      <c r="I102" s="4" t="s">
        <v>250</v>
      </c>
      <c r="J102" s="4" t="s">
        <v>150</v>
      </c>
      <c r="K102" s="4" t="s">
        <v>252</v>
      </c>
      <c r="L102" s="4" t="s">
        <v>106</v>
      </c>
      <c r="M102" s="8">
        <v>0.6</v>
      </c>
      <c r="N102" s="8">
        <v>4.7</v>
      </c>
      <c r="O102" s="8">
        <v>28</v>
      </c>
      <c r="P102" s="8">
        <v>2</v>
      </c>
      <c r="Q102" s="8"/>
      <c r="R102" s="8"/>
      <c r="S102" s="4" t="s">
        <v>654</v>
      </c>
      <c r="T102" s="4" t="s">
        <v>655</v>
      </c>
      <c r="U102" s="4" t="s">
        <v>110</v>
      </c>
      <c r="V102" s="4" t="s">
        <v>109</v>
      </c>
      <c r="W102" s="4" t="s">
        <v>110</v>
      </c>
      <c r="X102" s="8"/>
      <c r="Y102" s="4" t="s">
        <v>255</v>
      </c>
      <c r="Z102" s="4" t="s">
        <v>112</v>
      </c>
      <c r="AA102" s="4" t="s">
        <v>656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28.5">
      <c r="A103" s="4" t="s">
        <v>657</v>
      </c>
      <c r="B103" s="4" t="s">
        <v>650</v>
      </c>
      <c r="C103" s="4" t="s">
        <v>97</v>
      </c>
      <c r="D103" s="4" t="s">
        <v>246</v>
      </c>
      <c r="E103" s="4" t="s">
        <v>651</v>
      </c>
      <c r="F103" s="4" t="s">
        <v>658</v>
      </c>
      <c r="G103" s="4" t="s">
        <v>659</v>
      </c>
      <c r="H103" s="4" t="s">
        <v>250</v>
      </c>
      <c r="I103" s="4" t="s">
        <v>250</v>
      </c>
      <c r="J103" s="4" t="s">
        <v>150</v>
      </c>
      <c r="K103" s="4" t="s">
        <v>252</v>
      </c>
      <c r="L103" s="4" t="s">
        <v>106</v>
      </c>
      <c r="M103" s="8">
        <v>0.6</v>
      </c>
      <c r="N103" s="8">
        <v>7</v>
      </c>
      <c r="O103" s="8">
        <v>27</v>
      </c>
      <c r="P103" s="8">
        <v>3.9</v>
      </c>
      <c r="Q103" s="8"/>
      <c r="R103" s="8"/>
      <c r="S103" s="4" t="s">
        <v>654</v>
      </c>
      <c r="T103" s="4" t="s">
        <v>660</v>
      </c>
      <c r="U103" s="4" t="s">
        <v>110</v>
      </c>
      <c r="V103" s="4" t="s">
        <v>109</v>
      </c>
      <c r="W103" s="4" t="s">
        <v>110</v>
      </c>
      <c r="X103" s="8"/>
      <c r="Y103" s="4" t="s">
        <v>255</v>
      </c>
      <c r="Z103" s="4" t="s">
        <v>112</v>
      </c>
      <c r="AA103" s="4" t="s">
        <v>656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28.5">
      <c r="A104" s="4" t="s">
        <v>661</v>
      </c>
      <c r="B104" s="4" t="s">
        <v>650</v>
      </c>
      <c r="C104" s="4" t="s">
        <v>97</v>
      </c>
      <c r="D104" s="4" t="s">
        <v>246</v>
      </c>
      <c r="E104" s="4" t="s">
        <v>651</v>
      </c>
      <c r="F104" s="4" t="s">
        <v>662</v>
      </c>
      <c r="G104" s="4" t="s">
        <v>663</v>
      </c>
      <c r="H104" s="4" t="s">
        <v>250</v>
      </c>
      <c r="I104" s="4" t="s">
        <v>250</v>
      </c>
      <c r="J104" s="4" t="s">
        <v>150</v>
      </c>
      <c r="K104" s="4" t="s">
        <v>252</v>
      </c>
      <c r="L104" s="4" t="s">
        <v>106</v>
      </c>
      <c r="M104" s="8">
        <v>0.75</v>
      </c>
      <c r="N104" s="8">
        <v>9</v>
      </c>
      <c r="O104" s="8">
        <v>35</v>
      </c>
      <c r="P104" s="8">
        <v>4.5</v>
      </c>
      <c r="Q104" s="8"/>
      <c r="R104" s="8"/>
      <c r="S104" s="4" t="s">
        <v>664</v>
      </c>
      <c r="T104" s="4" t="s">
        <v>665</v>
      </c>
      <c r="U104" s="4" t="s">
        <v>110</v>
      </c>
      <c r="V104" s="4" t="s">
        <v>109</v>
      </c>
      <c r="W104" s="4" t="s">
        <v>110</v>
      </c>
      <c r="X104" s="8"/>
      <c r="Y104" s="4" t="s">
        <v>255</v>
      </c>
      <c r="Z104" s="4" t="s">
        <v>112</v>
      </c>
      <c r="AA104" s="4" t="s">
        <v>666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28.5">
      <c r="A105" s="4" t="s">
        <v>667</v>
      </c>
      <c r="B105" s="4" t="s">
        <v>650</v>
      </c>
      <c r="C105" s="4" t="s">
        <v>97</v>
      </c>
      <c r="D105" s="4" t="s">
        <v>246</v>
      </c>
      <c r="E105" s="4" t="s">
        <v>651</v>
      </c>
      <c r="F105" s="4" t="s">
        <v>668</v>
      </c>
      <c r="G105" s="4" t="s">
        <v>669</v>
      </c>
      <c r="H105" s="4" t="s">
        <v>250</v>
      </c>
      <c r="I105" s="4" t="s">
        <v>250</v>
      </c>
      <c r="J105" s="4" t="s">
        <v>150</v>
      </c>
      <c r="K105" s="4" t="s">
        <v>252</v>
      </c>
      <c r="L105" s="4" t="s">
        <v>106</v>
      </c>
      <c r="M105" s="8">
        <v>0.75</v>
      </c>
      <c r="N105" s="8">
        <v>14.5</v>
      </c>
      <c r="O105" s="8">
        <v>27</v>
      </c>
      <c r="P105" s="8">
        <v>7.8</v>
      </c>
      <c r="Q105" s="8"/>
      <c r="R105" s="8"/>
      <c r="S105" s="4" t="s">
        <v>664</v>
      </c>
      <c r="T105" s="4" t="s">
        <v>670</v>
      </c>
      <c r="U105" s="4" t="s">
        <v>110</v>
      </c>
      <c r="V105" s="4" t="s">
        <v>109</v>
      </c>
      <c r="W105" s="4" t="s">
        <v>110</v>
      </c>
      <c r="X105" s="8"/>
      <c r="Y105" s="4" t="s">
        <v>255</v>
      </c>
      <c r="Z105" s="4" t="s">
        <v>112</v>
      </c>
      <c r="AA105" s="4" t="s">
        <v>666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4" t="s">
        <v>671</v>
      </c>
      <c r="B106" s="4" t="s">
        <v>650</v>
      </c>
      <c r="C106" s="4" t="s">
        <v>97</v>
      </c>
      <c r="D106" s="4" t="s">
        <v>246</v>
      </c>
      <c r="E106" s="4" t="s">
        <v>672</v>
      </c>
      <c r="F106" s="4" t="s">
        <v>673</v>
      </c>
      <c r="G106" s="4" t="s">
        <v>674</v>
      </c>
      <c r="H106" s="4" t="s">
        <v>250</v>
      </c>
      <c r="I106" s="4" t="s">
        <v>308</v>
      </c>
      <c r="J106" s="4" t="s">
        <v>150</v>
      </c>
      <c r="K106" s="4" t="s">
        <v>252</v>
      </c>
      <c r="L106" s="4" t="s">
        <v>106</v>
      </c>
      <c r="M106" s="8">
        <v>0.55000000000000004</v>
      </c>
      <c r="N106" s="8">
        <v>6</v>
      </c>
      <c r="O106" s="8">
        <v>30</v>
      </c>
      <c r="P106" s="8">
        <v>3</v>
      </c>
      <c r="Q106" s="8"/>
      <c r="R106" s="8"/>
      <c r="S106" s="4" t="s">
        <v>675</v>
      </c>
      <c r="T106" s="4" t="s">
        <v>676</v>
      </c>
      <c r="U106" s="4" t="s">
        <v>110</v>
      </c>
      <c r="V106" s="4" t="s">
        <v>109</v>
      </c>
      <c r="W106" s="4" t="s">
        <v>110</v>
      </c>
      <c r="X106" s="8"/>
      <c r="Y106" s="4" t="s">
        <v>255</v>
      </c>
      <c r="Z106" s="4" t="s">
        <v>112</v>
      </c>
      <c r="AA106" s="4" t="s">
        <v>677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4" t="s">
        <v>678</v>
      </c>
      <c r="B107" s="4" t="s">
        <v>650</v>
      </c>
      <c r="C107" s="4" t="s">
        <v>97</v>
      </c>
      <c r="D107" s="4" t="s">
        <v>246</v>
      </c>
      <c r="E107" s="4" t="s">
        <v>672</v>
      </c>
      <c r="F107" s="4" t="s">
        <v>679</v>
      </c>
      <c r="G107" s="4" t="s">
        <v>680</v>
      </c>
      <c r="H107" s="4" t="s">
        <v>250</v>
      </c>
      <c r="I107" s="4" t="s">
        <v>308</v>
      </c>
      <c r="J107" s="4" t="s">
        <v>150</v>
      </c>
      <c r="K107" s="4" t="s">
        <v>252</v>
      </c>
      <c r="L107" s="4" t="s">
        <v>106</v>
      </c>
      <c r="M107" s="8">
        <v>0.55000000000000004</v>
      </c>
      <c r="N107" s="8">
        <v>18</v>
      </c>
      <c r="O107" s="8">
        <v>15</v>
      </c>
      <c r="P107" s="8">
        <v>9</v>
      </c>
      <c r="Q107" s="8"/>
      <c r="R107" s="8"/>
      <c r="S107" s="4" t="s">
        <v>675</v>
      </c>
      <c r="T107" s="4" t="s">
        <v>681</v>
      </c>
      <c r="U107" s="4" t="s">
        <v>110</v>
      </c>
      <c r="V107" s="4" t="s">
        <v>109</v>
      </c>
      <c r="W107" s="4" t="s">
        <v>110</v>
      </c>
      <c r="X107" s="8"/>
      <c r="Y107" s="4" t="s">
        <v>255</v>
      </c>
      <c r="Z107" s="4" t="s">
        <v>112</v>
      </c>
      <c r="AA107" s="4" t="s">
        <v>677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4" t="s">
        <v>682</v>
      </c>
      <c r="B108" s="4" t="s">
        <v>650</v>
      </c>
      <c r="C108" s="4" t="s">
        <v>97</v>
      </c>
      <c r="D108" s="4" t="s">
        <v>246</v>
      </c>
      <c r="E108" s="4" t="s">
        <v>672</v>
      </c>
      <c r="F108" s="4" t="s">
        <v>683</v>
      </c>
      <c r="G108" s="4" t="s">
        <v>684</v>
      </c>
      <c r="H108" s="4" t="s">
        <v>250</v>
      </c>
      <c r="I108" s="4" t="s">
        <v>308</v>
      </c>
      <c r="J108" s="4" t="s">
        <v>150</v>
      </c>
      <c r="K108" s="4" t="s">
        <v>252</v>
      </c>
      <c r="L108" s="4" t="s">
        <v>106</v>
      </c>
      <c r="M108" s="8">
        <v>0.75</v>
      </c>
      <c r="N108" s="8">
        <v>21</v>
      </c>
      <c r="O108" s="8">
        <v>16</v>
      </c>
      <c r="P108" s="8">
        <v>10</v>
      </c>
      <c r="Q108" s="8"/>
      <c r="R108" s="8"/>
      <c r="S108" s="4" t="s">
        <v>664</v>
      </c>
      <c r="T108" s="4" t="s">
        <v>685</v>
      </c>
      <c r="U108" s="4" t="s">
        <v>110</v>
      </c>
      <c r="V108" s="4" t="s">
        <v>109</v>
      </c>
      <c r="W108" s="4" t="s">
        <v>110</v>
      </c>
      <c r="X108" s="8"/>
      <c r="Y108" s="4" t="s">
        <v>255</v>
      </c>
      <c r="Z108" s="4" t="s">
        <v>112</v>
      </c>
      <c r="AA108" s="4" t="s">
        <v>686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4" t="s">
        <v>687</v>
      </c>
      <c r="B109" s="4" t="s">
        <v>650</v>
      </c>
      <c r="C109" s="4" t="s">
        <v>97</v>
      </c>
      <c r="D109" s="4" t="s">
        <v>246</v>
      </c>
      <c r="E109" s="4" t="s">
        <v>672</v>
      </c>
      <c r="F109" s="4" t="s">
        <v>688</v>
      </c>
      <c r="G109" s="4" t="s">
        <v>689</v>
      </c>
      <c r="H109" s="4" t="s">
        <v>250</v>
      </c>
      <c r="I109" s="4" t="s">
        <v>308</v>
      </c>
      <c r="J109" s="4" t="s">
        <v>150</v>
      </c>
      <c r="K109" s="4" t="s">
        <v>252</v>
      </c>
      <c r="L109" s="4" t="s">
        <v>106</v>
      </c>
      <c r="M109" s="8">
        <v>1.1000000000000001</v>
      </c>
      <c r="N109" s="8">
        <v>26</v>
      </c>
      <c r="O109" s="8">
        <v>16</v>
      </c>
      <c r="P109" s="8">
        <v>13</v>
      </c>
      <c r="Q109" s="8"/>
      <c r="R109" s="8"/>
      <c r="S109" s="4" t="s">
        <v>690</v>
      </c>
      <c r="T109" s="4" t="s">
        <v>691</v>
      </c>
      <c r="U109" s="4" t="s">
        <v>110</v>
      </c>
      <c r="V109" s="4" t="s">
        <v>109</v>
      </c>
      <c r="W109" s="4" t="s">
        <v>110</v>
      </c>
      <c r="X109" s="8"/>
      <c r="Y109" s="4" t="s">
        <v>255</v>
      </c>
      <c r="Z109" s="4" t="s">
        <v>112</v>
      </c>
      <c r="AA109" s="4" t="s">
        <v>692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28.5">
      <c r="A110" s="4" t="s">
        <v>693</v>
      </c>
      <c r="B110" s="4" t="s">
        <v>650</v>
      </c>
      <c r="C110" s="4" t="s">
        <v>97</v>
      </c>
      <c r="D110" s="4" t="s">
        <v>246</v>
      </c>
      <c r="E110" s="4" t="s">
        <v>672</v>
      </c>
      <c r="F110" s="4" t="s">
        <v>694</v>
      </c>
      <c r="G110" s="4" t="s">
        <v>695</v>
      </c>
      <c r="H110" s="4" t="s">
        <v>250</v>
      </c>
      <c r="I110" s="4" t="s">
        <v>250</v>
      </c>
      <c r="J110" s="4" t="s">
        <v>150</v>
      </c>
      <c r="K110" s="4" t="s">
        <v>105</v>
      </c>
      <c r="L110" s="4" t="s">
        <v>106</v>
      </c>
      <c r="M110" s="8">
        <v>0.55000000000000004</v>
      </c>
      <c r="N110" s="8">
        <v>6</v>
      </c>
      <c r="O110" s="8">
        <v>30</v>
      </c>
      <c r="P110" s="8">
        <v>3</v>
      </c>
      <c r="Q110" s="8"/>
      <c r="R110" s="8"/>
      <c r="S110" s="4" t="s">
        <v>277</v>
      </c>
      <c r="T110" s="4" t="s">
        <v>696</v>
      </c>
      <c r="U110" s="4" t="s">
        <v>110</v>
      </c>
      <c r="V110" s="4" t="s">
        <v>109</v>
      </c>
      <c r="W110" s="4" t="s">
        <v>110</v>
      </c>
      <c r="X110" s="8"/>
      <c r="Y110" s="4" t="s">
        <v>255</v>
      </c>
      <c r="Z110" s="4" t="s">
        <v>112</v>
      </c>
      <c r="AA110" s="4" t="s">
        <v>697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28.5">
      <c r="A111" s="4" t="s">
        <v>698</v>
      </c>
      <c r="B111" s="4" t="s">
        <v>650</v>
      </c>
      <c r="C111" s="4" t="s">
        <v>97</v>
      </c>
      <c r="D111" s="4" t="s">
        <v>246</v>
      </c>
      <c r="E111" s="4" t="s">
        <v>672</v>
      </c>
      <c r="F111" s="4" t="s">
        <v>699</v>
      </c>
      <c r="G111" s="4" t="s">
        <v>700</v>
      </c>
      <c r="H111" s="4" t="s">
        <v>250</v>
      </c>
      <c r="I111" s="4" t="s">
        <v>250</v>
      </c>
      <c r="J111" s="4" t="s">
        <v>150</v>
      </c>
      <c r="K111" s="4" t="s">
        <v>105</v>
      </c>
      <c r="L111" s="4" t="s">
        <v>106</v>
      </c>
      <c r="M111" s="8">
        <v>0.55000000000000004</v>
      </c>
      <c r="N111" s="8">
        <v>18</v>
      </c>
      <c r="O111" s="8">
        <v>15</v>
      </c>
      <c r="P111" s="8">
        <v>9</v>
      </c>
      <c r="Q111" s="8"/>
      <c r="R111" s="8"/>
      <c r="S111" s="4" t="s">
        <v>277</v>
      </c>
      <c r="T111" s="4" t="s">
        <v>701</v>
      </c>
      <c r="U111" s="4" t="s">
        <v>110</v>
      </c>
      <c r="V111" s="4" t="s">
        <v>109</v>
      </c>
      <c r="W111" s="4" t="s">
        <v>110</v>
      </c>
      <c r="X111" s="8"/>
      <c r="Y111" s="4" t="s">
        <v>255</v>
      </c>
      <c r="Z111" s="4" t="s">
        <v>112</v>
      </c>
      <c r="AA111" s="4" t="s">
        <v>697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28.5">
      <c r="A112" s="4" t="s">
        <v>702</v>
      </c>
      <c r="B112" s="4" t="s">
        <v>650</v>
      </c>
      <c r="C112" s="4" t="s">
        <v>97</v>
      </c>
      <c r="D112" s="4" t="s">
        <v>246</v>
      </c>
      <c r="E112" s="4" t="s">
        <v>672</v>
      </c>
      <c r="F112" s="4" t="s">
        <v>703</v>
      </c>
      <c r="G112" s="4" t="s">
        <v>704</v>
      </c>
      <c r="H112" s="4" t="s">
        <v>250</v>
      </c>
      <c r="I112" s="4" t="s">
        <v>250</v>
      </c>
      <c r="J112" s="4" t="s">
        <v>150</v>
      </c>
      <c r="K112" s="4" t="s">
        <v>105</v>
      </c>
      <c r="L112" s="4" t="s">
        <v>106</v>
      </c>
      <c r="M112" s="8">
        <v>0.75</v>
      </c>
      <c r="N112" s="8">
        <v>21</v>
      </c>
      <c r="O112" s="8">
        <v>16</v>
      </c>
      <c r="P112" s="8">
        <v>10</v>
      </c>
      <c r="Q112" s="8"/>
      <c r="R112" s="8"/>
      <c r="S112" s="4" t="s">
        <v>143</v>
      </c>
      <c r="T112" s="4" t="s">
        <v>705</v>
      </c>
      <c r="U112" s="4" t="s">
        <v>110</v>
      </c>
      <c r="V112" s="4" t="s">
        <v>109</v>
      </c>
      <c r="W112" s="4" t="s">
        <v>110</v>
      </c>
      <c r="X112" s="8"/>
      <c r="Y112" s="4" t="s">
        <v>255</v>
      </c>
      <c r="Z112" s="4" t="s">
        <v>112</v>
      </c>
      <c r="AA112" s="4" t="s">
        <v>706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28.5">
      <c r="A113" s="4" t="s">
        <v>707</v>
      </c>
      <c r="B113" s="4" t="s">
        <v>650</v>
      </c>
      <c r="C113" s="4" t="s">
        <v>97</v>
      </c>
      <c r="D113" s="4" t="s">
        <v>246</v>
      </c>
      <c r="E113" s="4" t="s">
        <v>672</v>
      </c>
      <c r="F113" s="4" t="s">
        <v>708</v>
      </c>
      <c r="G113" s="4" t="s">
        <v>709</v>
      </c>
      <c r="H113" s="4" t="s">
        <v>250</v>
      </c>
      <c r="I113" s="4" t="s">
        <v>250</v>
      </c>
      <c r="J113" s="4" t="s">
        <v>150</v>
      </c>
      <c r="K113" s="4" t="s">
        <v>105</v>
      </c>
      <c r="L113" s="4" t="s">
        <v>106</v>
      </c>
      <c r="M113" s="8">
        <v>1.1000000000000001</v>
      </c>
      <c r="N113" s="8">
        <v>26</v>
      </c>
      <c r="O113" s="8">
        <v>16</v>
      </c>
      <c r="P113" s="8">
        <v>13</v>
      </c>
      <c r="Q113" s="8"/>
      <c r="R113" s="8"/>
      <c r="S113" s="4" t="s">
        <v>190</v>
      </c>
      <c r="T113" s="4" t="s">
        <v>710</v>
      </c>
      <c r="U113" s="4" t="s">
        <v>110</v>
      </c>
      <c r="V113" s="4" t="s">
        <v>109</v>
      </c>
      <c r="W113" s="4" t="s">
        <v>110</v>
      </c>
      <c r="X113" s="8"/>
      <c r="Y113" s="4" t="s">
        <v>255</v>
      </c>
      <c r="Z113" s="4" t="s">
        <v>112</v>
      </c>
      <c r="AA113" s="4" t="s">
        <v>711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28.5">
      <c r="A114" s="4" t="s">
        <v>712</v>
      </c>
      <c r="B114" s="4" t="s">
        <v>650</v>
      </c>
      <c r="C114" s="4" t="s">
        <v>97</v>
      </c>
      <c r="D114" s="4" t="s">
        <v>246</v>
      </c>
      <c r="E114" s="4" t="s">
        <v>672</v>
      </c>
      <c r="F114" s="4" t="s">
        <v>713</v>
      </c>
      <c r="G114" s="4" t="s">
        <v>714</v>
      </c>
      <c r="H114" s="4" t="s">
        <v>250</v>
      </c>
      <c r="I114" s="4" t="s">
        <v>250</v>
      </c>
      <c r="J114" s="4" t="s">
        <v>150</v>
      </c>
      <c r="K114" s="4" t="s">
        <v>105</v>
      </c>
      <c r="L114" s="4" t="s">
        <v>106</v>
      </c>
      <c r="M114" s="8">
        <v>1.5</v>
      </c>
      <c r="N114" s="8">
        <v>27</v>
      </c>
      <c r="O114" s="8">
        <v>21</v>
      </c>
      <c r="P114" s="8">
        <v>14</v>
      </c>
      <c r="Q114" s="8"/>
      <c r="R114" s="8"/>
      <c r="S114" s="4" t="s">
        <v>227</v>
      </c>
      <c r="T114" s="4" t="s">
        <v>715</v>
      </c>
      <c r="U114" s="4" t="s">
        <v>110</v>
      </c>
      <c r="V114" s="4" t="s">
        <v>109</v>
      </c>
      <c r="W114" s="4" t="s">
        <v>110</v>
      </c>
      <c r="X114" s="8"/>
      <c r="Y114" s="4" t="s">
        <v>255</v>
      </c>
      <c r="Z114" s="4" t="s">
        <v>112</v>
      </c>
      <c r="AA114" s="4" t="s">
        <v>711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28.5">
      <c r="A115" s="4" t="s">
        <v>716</v>
      </c>
      <c r="B115" s="4" t="s">
        <v>650</v>
      </c>
      <c r="C115" s="4" t="s">
        <v>97</v>
      </c>
      <c r="D115" s="4" t="s">
        <v>246</v>
      </c>
      <c r="E115" s="4" t="s">
        <v>672</v>
      </c>
      <c r="F115" s="4" t="s">
        <v>717</v>
      </c>
      <c r="G115" s="4" t="s">
        <v>718</v>
      </c>
      <c r="H115" s="4" t="s">
        <v>250</v>
      </c>
      <c r="I115" s="4" t="s">
        <v>250</v>
      </c>
      <c r="J115" s="4" t="s">
        <v>150</v>
      </c>
      <c r="K115" s="4" t="s">
        <v>105</v>
      </c>
      <c r="L115" s="4" t="s">
        <v>106</v>
      </c>
      <c r="M115" s="8">
        <v>1.5</v>
      </c>
      <c r="N115" s="8">
        <v>27</v>
      </c>
      <c r="O115" s="8">
        <v>21</v>
      </c>
      <c r="P115" s="8">
        <v>14</v>
      </c>
      <c r="Q115" s="8"/>
      <c r="R115" s="8"/>
      <c r="S115" s="4" t="s">
        <v>719</v>
      </c>
      <c r="T115" s="4" t="s">
        <v>720</v>
      </c>
      <c r="U115" s="4" t="s">
        <v>110</v>
      </c>
      <c r="V115" s="4" t="s">
        <v>109</v>
      </c>
      <c r="W115" s="4" t="s">
        <v>110</v>
      </c>
      <c r="X115" s="8"/>
      <c r="Y115" s="4" t="s">
        <v>255</v>
      </c>
      <c r="Z115" s="4" t="s">
        <v>112</v>
      </c>
      <c r="AA115" s="4" t="s">
        <v>721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28.5">
      <c r="A116" s="4" t="s">
        <v>722</v>
      </c>
      <c r="B116" s="4" t="s">
        <v>650</v>
      </c>
      <c r="C116" s="4" t="s">
        <v>97</v>
      </c>
      <c r="D116" s="4" t="s">
        <v>246</v>
      </c>
      <c r="E116" s="4" t="s">
        <v>672</v>
      </c>
      <c r="F116" s="4" t="s">
        <v>723</v>
      </c>
      <c r="G116" s="4" t="s">
        <v>724</v>
      </c>
      <c r="H116" s="4" t="s">
        <v>250</v>
      </c>
      <c r="I116" s="4" t="s">
        <v>250</v>
      </c>
      <c r="J116" s="4" t="s">
        <v>150</v>
      </c>
      <c r="K116" s="4" t="s">
        <v>105</v>
      </c>
      <c r="L116" s="4" t="s">
        <v>106</v>
      </c>
      <c r="M116" s="8">
        <v>1.5</v>
      </c>
      <c r="N116" s="8">
        <v>45</v>
      </c>
      <c r="O116" s="8">
        <v>17</v>
      </c>
      <c r="P116" s="8">
        <v>22</v>
      </c>
      <c r="Q116" s="8"/>
      <c r="R116" s="8"/>
      <c r="S116" s="4" t="s">
        <v>227</v>
      </c>
      <c r="T116" s="4" t="s">
        <v>725</v>
      </c>
      <c r="U116" s="4" t="s">
        <v>110</v>
      </c>
      <c r="V116" s="4" t="s">
        <v>109</v>
      </c>
      <c r="W116" s="4" t="s">
        <v>110</v>
      </c>
      <c r="X116" s="8"/>
      <c r="Y116" s="4" t="s">
        <v>255</v>
      </c>
      <c r="Z116" s="4" t="s">
        <v>112</v>
      </c>
      <c r="AA116" s="4" t="s">
        <v>711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28.5">
      <c r="A117" s="4" t="s">
        <v>726</v>
      </c>
      <c r="B117" s="4" t="s">
        <v>650</v>
      </c>
      <c r="C117" s="4" t="s">
        <v>97</v>
      </c>
      <c r="D117" s="4" t="s">
        <v>246</v>
      </c>
      <c r="E117" s="4" t="s">
        <v>672</v>
      </c>
      <c r="F117" s="4" t="s">
        <v>727</v>
      </c>
      <c r="G117" s="4" t="s">
        <v>728</v>
      </c>
      <c r="H117" s="4" t="s">
        <v>250</v>
      </c>
      <c r="I117" s="4" t="s">
        <v>250</v>
      </c>
      <c r="J117" s="4" t="s">
        <v>150</v>
      </c>
      <c r="K117" s="4" t="s">
        <v>105</v>
      </c>
      <c r="L117" s="4" t="s">
        <v>106</v>
      </c>
      <c r="M117" s="8">
        <v>1.5</v>
      </c>
      <c r="N117" s="8">
        <v>45</v>
      </c>
      <c r="O117" s="8">
        <v>17</v>
      </c>
      <c r="P117" s="8">
        <v>22</v>
      </c>
      <c r="Q117" s="8"/>
      <c r="R117" s="8"/>
      <c r="S117" s="4" t="s">
        <v>719</v>
      </c>
      <c r="T117" s="4" t="s">
        <v>729</v>
      </c>
      <c r="U117" s="4" t="s">
        <v>110</v>
      </c>
      <c r="V117" s="4" t="s">
        <v>109</v>
      </c>
      <c r="W117" s="4" t="s">
        <v>110</v>
      </c>
      <c r="X117" s="8"/>
      <c r="Y117" s="4" t="s">
        <v>255</v>
      </c>
      <c r="Z117" s="4" t="s">
        <v>112</v>
      </c>
      <c r="AA117" s="4" t="s">
        <v>721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28.5">
      <c r="A118" s="4" t="s">
        <v>730</v>
      </c>
      <c r="B118" s="4" t="s">
        <v>650</v>
      </c>
      <c r="C118" s="4" t="s">
        <v>97</v>
      </c>
      <c r="D118" s="4" t="s">
        <v>246</v>
      </c>
      <c r="E118" s="4" t="s">
        <v>672</v>
      </c>
      <c r="F118" s="4" t="s">
        <v>731</v>
      </c>
      <c r="G118" s="4" t="s">
        <v>732</v>
      </c>
      <c r="H118" s="4" t="s">
        <v>250</v>
      </c>
      <c r="I118" s="4" t="s">
        <v>250</v>
      </c>
      <c r="J118" s="4" t="s">
        <v>150</v>
      </c>
      <c r="K118" s="4" t="s">
        <v>105</v>
      </c>
      <c r="L118" s="4" t="s">
        <v>106</v>
      </c>
      <c r="M118" s="8">
        <v>2.2000000000000002</v>
      </c>
      <c r="N118" s="8">
        <v>60</v>
      </c>
      <c r="O118" s="8">
        <v>27</v>
      </c>
      <c r="P118" s="8">
        <v>30</v>
      </c>
      <c r="Q118" s="8"/>
      <c r="R118" s="8"/>
      <c r="S118" s="4" t="s">
        <v>733</v>
      </c>
      <c r="T118" s="4" t="s">
        <v>734</v>
      </c>
      <c r="U118" s="4" t="s">
        <v>110</v>
      </c>
      <c r="V118" s="4" t="s">
        <v>109</v>
      </c>
      <c r="W118" s="4" t="s">
        <v>110</v>
      </c>
      <c r="X118" s="8"/>
      <c r="Y118" s="4" t="s">
        <v>255</v>
      </c>
      <c r="Z118" s="4" t="s">
        <v>112</v>
      </c>
      <c r="AA118" s="4" t="s">
        <v>735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28.5">
      <c r="A119" s="4" t="s">
        <v>736</v>
      </c>
      <c r="B119" s="4" t="s">
        <v>650</v>
      </c>
      <c r="C119" s="4" t="s">
        <v>97</v>
      </c>
      <c r="D119" s="4" t="s">
        <v>246</v>
      </c>
      <c r="E119" s="4" t="s">
        <v>672</v>
      </c>
      <c r="F119" s="4" t="s">
        <v>737</v>
      </c>
      <c r="G119" s="4" t="s">
        <v>738</v>
      </c>
      <c r="H119" s="4" t="s">
        <v>250</v>
      </c>
      <c r="I119" s="4" t="s">
        <v>250</v>
      </c>
      <c r="J119" s="4" t="s">
        <v>150</v>
      </c>
      <c r="K119" s="4" t="s">
        <v>105</v>
      </c>
      <c r="L119" s="4" t="s">
        <v>106</v>
      </c>
      <c r="M119" s="8">
        <v>2.2000000000000002</v>
      </c>
      <c r="N119" s="8">
        <v>70</v>
      </c>
      <c r="O119" s="8">
        <v>24</v>
      </c>
      <c r="P119" s="8">
        <v>35</v>
      </c>
      <c r="Q119" s="8"/>
      <c r="R119" s="8"/>
      <c r="S119" s="4" t="s">
        <v>733</v>
      </c>
      <c r="T119" s="4" t="s">
        <v>739</v>
      </c>
      <c r="U119" s="4" t="s">
        <v>110</v>
      </c>
      <c r="V119" s="4" t="s">
        <v>109</v>
      </c>
      <c r="W119" s="4" t="s">
        <v>110</v>
      </c>
      <c r="X119" s="8"/>
      <c r="Y119" s="4" t="s">
        <v>255</v>
      </c>
      <c r="Z119" s="4" t="s">
        <v>112</v>
      </c>
      <c r="AA119" s="4" t="s">
        <v>735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28.5">
      <c r="A120" s="4" t="s">
        <v>740</v>
      </c>
      <c r="B120" s="4" t="s">
        <v>650</v>
      </c>
      <c r="C120" s="4" t="s">
        <v>97</v>
      </c>
      <c r="D120" s="4" t="s">
        <v>246</v>
      </c>
      <c r="E120" s="4" t="s">
        <v>672</v>
      </c>
      <c r="F120" s="4" t="s">
        <v>741</v>
      </c>
      <c r="G120" s="4" t="s">
        <v>742</v>
      </c>
      <c r="H120" s="4" t="s">
        <v>250</v>
      </c>
      <c r="I120" s="4" t="s">
        <v>250</v>
      </c>
      <c r="J120" s="4" t="s">
        <v>150</v>
      </c>
      <c r="K120" s="4" t="s">
        <v>105</v>
      </c>
      <c r="L120" s="4" t="s">
        <v>106</v>
      </c>
      <c r="M120" s="8">
        <v>3</v>
      </c>
      <c r="N120" s="8">
        <v>85</v>
      </c>
      <c r="O120" s="8">
        <v>28</v>
      </c>
      <c r="P120" s="8">
        <v>40</v>
      </c>
      <c r="Q120" s="8"/>
      <c r="R120" s="8"/>
      <c r="S120" s="4" t="s">
        <v>743</v>
      </c>
      <c r="T120" s="4" t="s">
        <v>744</v>
      </c>
      <c r="U120" s="4" t="s">
        <v>110</v>
      </c>
      <c r="V120" s="4" t="s">
        <v>109</v>
      </c>
      <c r="W120" s="4" t="s">
        <v>110</v>
      </c>
      <c r="X120" s="8"/>
      <c r="Y120" s="4" t="s">
        <v>255</v>
      </c>
      <c r="Z120" s="4" t="s">
        <v>112</v>
      </c>
      <c r="AA120" s="4" t="s">
        <v>745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28.5">
      <c r="A121" s="4" t="s">
        <v>746</v>
      </c>
      <c r="B121" s="4" t="s">
        <v>650</v>
      </c>
      <c r="C121" s="4" t="s">
        <v>97</v>
      </c>
      <c r="D121" s="4" t="s">
        <v>246</v>
      </c>
      <c r="E121" s="4" t="s">
        <v>672</v>
      </c>
      <c r="F121" s="4" t="s">
        <v>747</v>
      </c>
      <c r="G121" s="4" t="s">
        <v>748</v>
      </c>
      <c r="H121" s="4" t="s">
        <v>250</v>
      </c>
      <c r="I121" s="4" t="s">
        <v>250</v>
      </c>
      <c r="J121" s="4" t="s">
        <v>150</v>
      </c>
      <c r="K121" s="4" t="s">
        <v>292</v>
      </c>
      <c r="L121" s="4" t="s">
        <v>106</v>
      </c>
      <c r="M121" s="8">
        <v>0.75</v>
      </c>
      <c r="N121" s="8">
        <v>21</v>
      </c>
      <c r="O121" s="8">
        <v>16</v>
      </c>
      <c r="P121" s="8">
        <v>10</v>
      </c>
      <c r="Q121" s="8"/>
      <c r="R121" s="8"/>
      <c r="S121" s="4" t="s">
        <v>293</v>
      </c>
      <c r="T121" s="4" t="s">
        <v>749</v>
      </c>
      <c r="U121" s="4" t="s">
        <v>110</v>
      </c>
      <c r="V121" s="4" t="s">
        <v>109</v>
      </c>
      <c r="W121" s="4" t="s">
        <v>110</v>
      </c>
      <c r="X121" s="8"/>
      <c r="Y121" s="4" t="s">
        <v>255</v>
      </c>
      <c r="Z121" s="4" t="s">
        <v>112</v>
      </c>
      <c r="AA121" s="4" t="s">
        <v>750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28.5">
      <c r="A122" s="4" t="s">
        <v>751</v>
      </c>
      <c r="B122" s="4" t="s">
        <v>650</v>
      </c>
      <c r="C122" s="4" t="s">
        <v>97</v>
      </c>
      <c r="D122" s="4" t="s">
        <v>246</v>
      </c>
      <c r="E122" s="4" t="s">
        <v>672</v>
      </c>
      <c r="F122" s="4" t="s">
        <v>752</v>
      </c>
      <c r="G122" s="4" t="s">
        <v>753</v>
      </c>
      <c r="H122" s="4" t="s">
        <v>250</v>
      </c>
      <c r="I122" s="4" t="s">
        <v>250</v>
      </c>
      <c r="J122" s="4" t="s">
        <v>150</v>
      </c>
      <c r="K122" s="4" t="s">
        <v>292</v>
      </c>
      <c r="L122" s="4" t="s">
        <v>106</v>
      </c>
      <c r="M122" s="8">
        <v>1.1000000000000001</v>
      </c>
      <c r="N122" s="8">
        <v>26</v>
      </c>
      <c r="O122" s="8">
        <v>16</v>
      </c>
      <c r="P122" s="8">
        <v>13</v>
      </c>
      <c r="Q122" s="8"/>
      <c r="R122" s="8"/>
      <c r="S122" s="4" t="s">
        <v>754</v>
      </c>
      <c r="T122" s="4" t="s">
        <v>755</v>
      </c>
      <c r="U122" s="4" t="s">
        <v>110</v>
      </c>
      <c r="V122" s="4" t="s">
        <v>109</v>
      </c>
      <c r="W122" s="4" t="s">
        <v>110</v>
      </c>
      <c r="X122" s="8"/>
      <c r="Y122" s="4" t="s">
        <v>255</v>
      </c>
      <c r="Z122" s="4" t="s">
        <v>112</v>
      </c>
      <c r="AA122" s="4" t="s">
        <v>756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28.5">
      <c r="A123" s="4" t="s">
        <v>757</v>
      </c>
      <c r="B123" s="4" t="s">
        <v>650</v>
      </c>
      <c r="C123" s="4" t="s">
        <v>97</v>
      </c>
      <c r="D123" s="4" t="s">
        <v>246</v>
      </c>
      <c r="E123" s="4" t="s">
        <v>672</v>
      </c>
      <c r="F123" s="4" t="s">
        <v>758</v>
      </c>
      <c r="G123" s="4" t="s">
        <v>759</v>
      </c>
      <c r="H123" s="4" t="s">
        <v>250</v>
      </c>
      <c r="I123" s="4" t="s">
        <v>250</v>
      </c>
      <c r="J123" s="4" t="s">
        <v>150</v>
      </c>
      <c r="K123" s="4" t="s">
        <v>292</v>
      </c>
      <c r="L123" s="4" t="s">
        <v>106</v>
      </c>
      <c r="M123" s="8">
        <v>1.5</v>
      </c>
      <c r="N123" s="8">
        <v>27</v>
      </c>
      <c r="O123" s="8">
        <v>21</v>
      </c>
      <c r="P123" s="8">
        <v>14</v>
      </c>
      <c r="Q123" s="8"/>
      <c r="R123" s="8"/>
      <c r="S123" s="4" t="s">
        <v>760</v>
      </c>
      <c r="T123" s="4" t="s">
        <v>761</v>
      </c>
      <c r="U123" s="4" t="s">
        <v>110</v>
      </c>
      <c r="V123" s="4" t="s">
        <v>109</v>
      </c>
      <c r="W123" s="4" t="s">
        <v>110</v>
      </c>
      <c r="X123" s="8"/>
      <c r="Y123" s="4" t="s">
        <v>255</v>
      </c>
      <c r="Z123" s="4" t="s">
        <v>112</v>
      </c>
      <c r="AA123" s="4" t="s">
        <v>762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28.5">
      <c r="A124" s="4" t="s">
        <v>763</v>
      </c>
      <c r="B124" s="4" t="s">
        <v>650</v>
      </c>
      <c r="C124" s="4" t="s">
        <v>97</v>
      </c>
      <c r="D124" s="4" t="s">
        <v>246</v>
      </c>
      <c r="E124" s="4" t="s">
        <v>672</v>
      </c>
      <c r="F124" s="4" t="s">
        <v>764</v>
      </c>
      <c r="G124" s="4" t="s">
        <v>765</v>
      </c>
      <c r="H124" s="4" t="s">
        <v>250</v>
      </c>
      <c r="I124" s="4" t="s">
        <v>250</v>
      </c>
      <c r="J124" s="4" t="s">
        <v>150</v>
      </c>
      <c r="K124" s="4" t="s">
        <v>292</v>
      </c>
      <c r="L124" s="4" t="s">
        <v>106</v>
      </c>
      <c r="M124" s="8">
        <v>1.5</v>
      </c>
      <c r="N124" s="8">
        <v>45</v>
      </c>
      <c r="O124" s="8">
        <v>17</v>
      </c>
      <c r="P124" s="8">
        <v>22</v>
      </c>
      <c r="Q124" s="8"/>
      <c r="R124" s="8"/>
      <c r="S124" s="4" t="s">
        <v>760</v>
      </c>
      <c r="T124" s="4" t="s">
        <v>766</v>
      </c>
      <c r="U124" s="4" t="s">
        <v>110</v>
      </c>
      <c r="V124" s="4" t="s">
        <v>109</v>
      </c>
      <c r="W124" s="4" t="s">
        <v>110</v>
      </c>
      <c r="X124" s="8"/>
      <c r="Y124" s="4" t="s">
        <v>255</v>
      </c>
      <c r="Z124" s="4" t="s">
        <v>112</v>
      </c>
      <c r="AA124" s="4" t="s">
        <v>762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28.5">
      <c r="A125" s="4" t="s">
        <v>767</v>
      </c>
      <c r="B125" s="4" t="s">
        <v>650</v>
      </c>
      <c r="C125" s="4" t="s">
        <v>97</v>
      </c>
      <c r="D125" s="4" t="s">
        <v>246</v>
      </c>
      <c r="E125" s="4" t="s">
        <v>672</v>
      </c>
      <c r="F125" s="4" t="s">
        <v>768</v>
      </c>
      <c r="G125" s="4" t="s">
        <v>769</v>
      </c>
      <c r="H125" s="4" t="s">
        <v>250</v>
      </c>
      <c r="I125" s="4" t="s">
        <v>250</v>
      </c>
      <c r="J125" s="4" t="s">
        <v>150</v>
      </c>
      <c r="K125" s="4" t="s">
        <v>292</v>
      </c>
      <c r="L125" s="4" t="s">
        <v>106</v>
      </c>
      <c r="M125" s="8">
        <v>2.2000000000000002</v>
      </c>
      <c r="N125" s="8">
        <v>60</v>
      </c>
      <c r="O125" s="8">
        <v>27</v>
      </c>
      <c r="P125" s="8">
        <v>30</v>
      </c>
      <c r="Q125" s="8"/>
      <c r="R125" s="8"/>
      <c r="S125" s="4" t="s">
        <v>770</v>
      </c>
      <c r="T125" s="4" t="s">
        <v>771</v>
      </c>
      <c r="U125" s="4" t="s">
        <v>110</v>
      </c>
      <c r="V125" s="4" t="s">
        <v>109</v>
      </c>
      <c r="W125" s="4" t="s">
        <v>110</v>
      </c>
      <c r="X125" s="8"/>
      <c r="Y125" s="4" t="s">
        <v>255</v>
      </c>
      <c r="Z125" s="4" t="s">
        <v>112</v>
      </c>
      <c r="AA125" s="4" t="s">
        <v>772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28.5">
      <c r="A126" s="4" t="s">
        <v>773</v>
      </c>
      <c r="B126" s="4" t="s">
        <v>650</v>
      </c>
      <c r="C126" s="4" t="s">
        <v>97</v>
      </c>
      <c r="D126" s="4" t="s">
        <v>246</v>
      </c>
      <c r="E126" s="4" t="s">
        <v>672</v>
      </c>
      <c r="F126" s="4" t="s">
        <v>774</v>
      </c>
      <c r="G126" s="4" t="s">
        <v>775</v>
      </c>
      <c r="H126" s="4" t="s">
        <v>250</v>
      </c>
      <c r="I126" s="4" t="s">
        <v>250</v>
      </c>
      <c r="J126" s="4" t="s">
        <v>150</v>
      </c>
      <c r="K126" s="4" t="s">
        <v>292</v>
      </c>
      <c r="L126" s="4" t="s">
        <v>106</v>
      </c>
      <c r="M126" s="8">
        <v>2.2000000000000002</v>
      </c>
      <c r="N126" s="8">
        <v>70</v>
      </c>
      <c r="O126" s="8">
        <v>24</v>
      </c>
      <c r="P126" s="8">
        <v>35</v>
      </c>
      <c r="Q126" s="8"/>
      <c r="R126" s="8"/>
      <c r="S126" s="4" t="s">
        <v>770</v>
      </c>
      <c r="T126" s="4" t="s">
        <v>776</v>
      </c>
      <c r="U126" s="4" t="s">
        <v>110</v>
      </c>
      <c r="V126" s="4" t="s">
        <v>109</v>
      </c>
      <c r="W126" s="4" t="s">
        <v>110</v>
      </c>
      <c r="X126" s="8"/>
      <c r="Y126" s="4" t="s">
        <v>255</v>
      </c>
      <c r="Z126" s="4" t="s">
        <v>112</v>
      </c>
      <c r="AA126" s="4" t="s">
        <v>772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28.5">
      <c r="A127" s="4" t="s">
        <v>777</v>
      </c>
      <c r="B127" s="4" t="s">
        <v>650</v>
      </c>
      <c r="C127" s="4" t="s">
        <v>97</v>
      </c>
      <c r="D127" s="4" t="s">
        <v>246</v>
      </c>
      <c r="E127" s="4" t="s">
        <v>672</v>
      </c>
      <c r="F127" s="4" t="s">
        <v>778</v>
      </c>
      <c r="G127" s="4" t="s">
        <v>779</v>
      </c>
      <c r="H127" s="4" t="s">
        <v>250</v>
      </c>
      <c r="I127" s="4" t="s">
        <v>250</v>
      </c>
      <c r="J127" s="4" t="s">
        <v>150</v>
      </c>
      <c r="K127" s="4" t="s">
        <v>292</v>
      </c>
      <c r="L127" s="4" t="s">
        <v>106</v>
      </c>
      <c r="M127" s="8">
        <v>3</v>
      </c>
      <c r="N127" s="8">
        <v>85</v>
      </c>
      <c r="O127" s="8">
        <v>28</v>
      </c>
      <c r="P127" s="8">
        <v>40</v>
      </c>
      <c r="Q127" s="8"/>
      <c r="R127" s="8"/>
      <c r="S127" s="4" t="s">
        <v>780</v>
      </c>
      <c r="T127" s="4" t="s">
        <v>781</v>
      </c>
      <c r="U127" s="4" t="s">
        <v>110</v>
      </c>
      <c r="V127" s="4" t="s">
        <v>109</v>
      </c>
      <c r="W127" s="4" t="s">
        <v>110</v>
      </c>
      <c r="X127" s="8"/>
      <c r="Y127" s="4" t="s">
        <v>255</v>
      </c>
      <c r="Z127" s="4" t="s">
        <v>112</v>
      </c>
      <c r="AA127" s="4" t="s">
        <v>782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42.75">
      <c r="A128" s="4" t="s">
        <v>783</v>
      </c>
      <c r="B128" s="4" t="s">
        <v>650</v>
      </c>
      <c r="C128" s="4" t="s">
        <v>97</v>
      </c>
      <c r="D128" s="4" t="s">
        <v>98</v>
      </c>
      <c r="E128" s="4" t="s">
        <v>171</v>
      </c>
      <c r="F128" s="4" t="s">
        <v>784</v>
      </c>
      <c r="G128" s="4" t="s">
        <v>785</v>
      </c>
      <c r="H128" s="4" t="s">
        <v>102</v>
      </c>
      <c r="I128" s="4" t="s">
        <v>103</v>
      </c>
      <c r="J128" s="4" t="s">
        <v>150</v>
      </c>
      <c r="K128" s="4" t="s">
        <v>105</v>
      </c>
      <c r="L128" s="4" t="s">
        <v>106</v>
      </c>
      <c r="M128" s="8">
        <v>1.5</v>
      </c>
      <c r="N128" s="8">
        <v>3.8</v>
      </c>
      <c r="O128" s="8">
        <v>180</v>
      </c>
      <c r="P128" s="8">
        <v>2.1</v>
      </c>
      <c r="Q128" s="8"/>
      <c r="R128" s="8"/>
      <c r="S128" s="4" t="s">
        <v>719</v>
      </c>
      <c r="T128" s="4" t="s">
        <v>786</v>
      </c>
      <c r="U128" s="4" t="s">
        <v>109</v>
      </c>
      <c r="V128" s="4" t="s">
        <v>109</v>
      </c>
      <c r="W128" s="4" t="s">
        <v>110</v>
      </c>
      <c r="X128" s="8"/>
      <c r="Y128" s="4" t="s">
        <v>787</v>
      </c>
      <c r="Z128" s="4" t="s">
        <v>112</v>
      </c>
      <c r="AA128" s="4" t="s">
        <v>788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28.5">
      <c r="A129" s="4" t="s">
        <v>789</v>
      </c>
      <c r="B129" s="4" t="s">
        <v>650</v>
      </c>
      <c r="C129" s="4" t="s">
        <v>97</v>
      </c>
      <c r="D129" s="4" t="s">
        <v>98</v>
      </c>
      <c r="E129" s="4" t="s">
        <v>171</v>
      </c>
      <c r="F129" s="4" t="s">
        <v>790</v>
      </c>
      <c r="G129" s="4" t="s">
        <v>791</v>
      </c>
      <c r="H129" s="4" t="s">
        <v>102</v>
      </c>
      <c r="I129" s="4" t="s">
        <v>103</v>
      </c>
      <c r="J129" s="4" t="s">
        <v>150</v>
      </c>
      <c r="K129" s="4" t="s">
        <v>105</v>
      </c>
      <c r="L129" s="4" t="s">
        <v>106</v>
      </c>
      <c r="M129" s="8">
        <v>1.5</v>
      </c>
      <c r="N129" s="8">
        <v>6</v>
      </c>
      <c r="O129" s="8">
        <v>125</v>
      </c>
      <c r="P129" s="8">
        <v>2.5</v>
      </c>
      <c r="Q129" s="8"/>
      <c r="R129" s="8"/>
      <c r="S129" s="4" t="s">
        <v>719</v>
      </c>
      <c r="T129" s="4" t="s">
        <v>792</v>
      </c>
      <c r="U129" s="4" t="s">
        <v>109</v>
      </c>
      <c r="V129" s="4" t="s">
        <v>109</v>
      </c>
      <c r="W129" s="4" t="s">
        <v>110</v>
      </c>
      <c r="X129" s="8"/>
      <c r="Y129" s="4" t="s">
        <v>787</v>
      </c>
      <c r="Z129" s="4" t="s">
        <v>112</v>
      </c>
      <c r="AA129" s="4" t="s">
        <v>793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28.5">
      <c r="A130" s="4" t="s">
        <v>794</v>
      </c>
      <c r="B130" s="4" t="s">
        <v>650</v>
      </c>
      <c r="C130" s="4" t="s">
        <v>97</v>
      </c>
      <c r="D130" s="4" t="s">
        <v>98</v>
      </c>
      <c r="E130" s="4" t="s">
        <v>171</v>
      </c>
      <c r="F130" s="4" t="s">
        <v>795</v>
      </c>
      <c r="G130" s="4" t="s">
        <v>796</v>
      </c>
      <c r="H130" s="4" t="s">
        <v>102</v>
      </c>
      <c r="I130" s="4" t="s">
        <v>103</v>
      </c>
      <c r="J130" s="4" t="s">
        <v>150</v>
      </c>
      <c r="K130" s="4" t="s">
        <v>105</v>
      </c>
      <c r="L130" s="4" t="s">
        <v>106</v>
      </c>
      <c r="M130" s="8">
        <v>1.5</v>
      </c>
      <c r="N130" s="8">
        <v>8</v>
      </c>
      <c r="O130" s="8">
        <v>90</v>
      </c>
      <c r="P130" s="8">
        <v>3.5</v>
      </c>
      <c r="Q130" s="8"/>
      <c r="R130" s="8"/>
      <c r="S130" s="4" t="s">
        <v>719</v>
      </c>
      <c r="T130" s="4" t="s">
        <v>797</v>
      </c>
      <c r="U130" s="4" t="s">
        <v>109</v>
      </c>
      <c r="V130" s="4" t="s">
        <v>109</v>
      </c>
      <c r="W130" s="4" t="s">
        <v>110</v>
      </c>
      <c r="X130" s="8"/>
      <c r="Y130" s="4" t="s">
        <v>787</v>
      </c>
      <c r="Z130" s="4" t="s">
        <v>112</v>
      </c>
      <c r="AA130" s="4" t="s">
        <v>798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57">
      <c r="A131" s="4" t="s">
        <v>799</v>
      </c>
      <c r="B131" s="4" t="s">
        <v>650</v>
      </c>
      <c r="C131" s="4" t="s">
        <v>97</v>
      </c>
      <c r="D131" s="4" t="s">
        <v>98</v>
      </c>
      <c r="E131" s="4" t="s">
        <v>800</v>
      </c>
      <c r="F131" s="4" t="s">
        <v>801</v>
      </c>
      <c r="G131" s="4" t="s">
        <v>802</v>
      </c>
      <c r="H131" s="4" t="s">
        <v>102</v>
      </c>
      <c r="I131" s="4" t="s">
        <v>103</v>
      </c>
      <c r="J131" s="4" t="s">
        <v>150</v>
      </c>
      <c r="K131" s="4" t="s">
        <v>105</v>
      </c>
      <c r="L131" s="4" t="s">
        <v>106</v>
      </c>
      <c r="M131" s="8">
        <v>1.5</v>
      </c>
      <c r="N131" s="8">
        <v>7</v>
      </c>
      <c r="O131" s="8">
        <v>135</v>
      </c>
      <c r="P131" s="8">
        <v>3</v>
      </c>
      <c r="Q131" s="8"/>
      <c r="R131" s="8"/>
      <c r="S131" s="4" t="s">
        <v>719</v>
      </c>
      <c r="T131" s="4" t="s">
        <v>803</v>
      </c>
      <c r="U131" s="4" t="s">
        <v>109</v>
      </c>
      <c r="V131" s="4" t="s">
        <v>109</v>
      </c>
      <c r="W131" s="4" t="s">
        <v>110</v>
      </c>
      <c r="X131" s="8"/>
      <c r="Y131" s="4" t="s">
        <v>787</v>
      </c>
      <c r="Z131" s="4" t="s">
        <v>112</v>
      </c>
      <c r="AA131" s="4" t="s">
        <v>804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57">
      <c r="A132" s="4" t="s">
        <v>805</v>
      </c>
      <c r="B132" s="4" t="s">
        <v>650</v>
      </c>
      <c r="C132" s="4" t="s">
        <v>97</v>
      </c>
      <c r="D132" s="4" t="s">
        <v>98</v>
      </c>
      <c r="E132" s="4" t="s">
        <v>800</v>
      </c>
      <c r="F132" s="4" t="s">
        <v>806</v>
      </c>
      <c r="G132" s="4" t="s">
        <v>807</v>
      </c>
      <c r="H132" s="4" t="s">
        <v>102</v>
      </c>
      <c r="I132" s="4" t="s">
        <v>103</v>
      </c>
      <c r="J132" s="4" t="s">
        <v>150</v>
      </c>
      <c r="K132" s="4" t="s">
        <v>105</v>
      </c>
      <c r="L132" s="4" t="s">
        <v>106</v>
      </c>
      <c r="M132" s="8">
        <v>2.2000000000000002</v>
      </c>
      <c r="N132" s="8">
        <v>7</v>
      </c>
      <c r="O132" s="8">
        <v>185</v>
      </c>
      <c r="P132" s="8">
        <v>3</v>
      </c>
      <c r="Q132" s="8"/>
      <c r="R132" s="8"/>
      <c r="S132" s="4" t="s">
        <v>733</v>
      </c>
      <c r="T132" s="4" t="s">
        <v>808</v>
      </c>
      <c r="U132" s="4" t="s">
        <v>109</v>
      </c>
      <c r="V132" s="4" t="s">
        <v>109</v>
      </c>
      <c r="W132" s="4" t="s">
        <v>110</v>
      </c>
      <c r="X132" s="8"/>
      <c r="Y132" s="4" t="s">
        <v>787</v>
      </c>
      <c r="Z132" s="4" t="s">
        <v>112</v>
      </c>
      <c r="AA132" s="4" t="s">
        <v>809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57">
      <c r="A133" s="4" t="s">
        <v>810</v>
      </c>
      <c r="B133" s="4" t="s">
        <v>650</v>
      </c>
      <c r="C133" s="4" t="s">
        <v>97</v>
      </c>
      <c r="D133" s="4" t="s">
        <v>98</v>
      </c>
      <c r="E133" s="4" t="s">
        <v>800</v>
      </c>
      <c r="F133" s="4" t="s">
        <v>811</v>
      </c>
      <c r="G133" s="4" t="s">
        <v>812</v>
      </c>
      <c r="H133" s="4" t="s">
        <v>102</v>
      </c>
      <c r="I133" s="4" t="s">
        <v>103</v>
      </c>
      <c r="J133" s="4" t="s">
        <v>150</v>
      </c>
      <c r="K133" s="4" t="s">
        <v>105</v>
      </c>
      <c r="L133" s="4" t="s">
        <v>106</v>
      </c>
      <c r="M133" s="8">
        <v>3</v>
      </c>
      <c r="N133" s="8">
        <v>7</v>
      </c>
      <c r="O133" s="8">
        <v>230</v>
      </c>
      <c r="P133" s="8">
        <v>3</v>
      </c>
      <c r="Q133" s="8"/>
      <c r="R133" s="8"/>
      <c r="S133" s="4" t="s">
        <v>743</v>
      </c>
      <c r="T133" s="4" t="s">
        <v>813</v>
      </c>
      <c r="U133" s="4" t="s">
        <v>109</v>
      </c>
      <c r="V133" s="4" t="s">
        <v>109</v>
      </c>
      <c r="W133" s="4" t="s">
        <v>110</v>
      </c>
      <c r="X133" s="8"/>
      <c r="Y133" s="4" t="s">
        <v>787</v>
      </c>
      <c r="Z133" s="4" t="s">
        <v>112</v>
      </c>
      <c r="AA133" s="4" t="s">
        <v>814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42.75">
      <c r="A134" s="4" t="s">
        <v>815</v>
      </c>
      <c r="B134" s="4" t="s">
        <v>650</v>
      </c>
      <c r="C134" s="4" t="s">
        <v>97</v>
      </c>
      <c r="D134" s="4" t="s">
        <v>98</v>
      </c>
      <c r="E134" s="4" t="s">
        <v>800</v>
      </c>
      <c r="F134" s="4" t="s">
        <v>816</v>
      </c>
      <c r="G134" s="4" t="s">
        <v>817</v>
      </c>
      <c r="H134" s="4" t="s">
        <v>102</v>
      </c>
      <c r="I134" s="4" t="s">
        <v>103</v>
      </c>
      <c r="J134" s="4" t="s">
        <v>150</v>
      </c>
      <c r="K134" s="4" t="s">
        <v>105</v>
      </c>
      <c r="L134" s="4" t="s">
        <v>106</v>
      </c>
      <c r="M134" s="8">
        <v>1.5</v>
      </c>
      <c r="N134" s="8">
        <v>9</v>
      </c>
      <c r="O134" s="8">
        <v>85</v>
      </c>
      <c r="P134" s="8">
        <v>4</v>
      </c>
      <c r="Q134" s="8"/>
      <c r="R134" s="8"/>
      <c r="S134" s="4" t="s">
        <v>719</v>
      </c>
      <c r="T134" s="4" t="s">
        <v>818</v>
      </c>
      <c r="U134" s="4" t="s">
        <v>109</v>
      </c>
      <c r="V134" s="4" t="s">
        <v>109</v>
      </c>
      <c r="W134" s="4" t="s">
        <v>110</v>
      </c>
      <c r="X134" s="8"/>
      <c r="Y134" s="4" t="s">
        <v>787</v>
      </c>
      <c r="Z134" s="4" t="s">
        <v>112</v>
      </c>
      <c r="AA134" s="4" t="s">
        <v>819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57">
      <c r="A135" s="4" t="s">
        <v>820</v>
      </c>
      <c r="B135" s="4" t="s">
        <v>650</v>
      </c>
      <c r="C135" s="4" t="s">
        <v>97</v>
      </c>
      <c r="D135" s="4" t="s">
        <v>98</v>
      </c>
      <c r="E135" s="4" t="s">
        <v>800</v>
      </c>
      <c r="F135" s="4" t="s">
        <v>821</v>
      </c>
      <c r="G135" s="4" t="s">
        <v>822</v>
      </c>
      <c r="H135" s="4" t="s">
        <v>102</v>
      </c>
      <c r="I135" s="4" t="s">
        <v>103</v>
      </c>
      <c r="J135" s="4" t="s">
        <v>150</v>
      </c>
      <c r="K135" s="4" t="s">
        <v>105</v>
      </c>
      <c r="L135" s="4" t="s">
        <v>106</v>
      </c>
      <c r="M135" s="8">
        <v>2.2000000000000002</v>
      </c>
      <c r="N135" s="8">
        <v>9</v>
      </c>
      <c r="O135" s="8">
        <v>125</v>
      </c>
      <c r="P135" s="8">
        <v>4</v>
      </c>
      <c r="Q135" s="8"/>
      <c r="R135" s="8"/>
      <c r="S135" s="4" t="s">
        <v>733</v>
      </c>
      <c r="T135" s="4" t="s">
        <v>823</v>
      </c>
      <c r="U135" s="4" t="s">
        <v>109</v>
      </c>
      <c r="V135" s="4" t="s">
        <v>109</v>
      </c>
      <c r="W135" s="4" t="s">
        <v>110</v>
      </c>
      <c r="X135" s="8"/>
      <c r="Y135" s="4" t="s">
        <v>787</v>
      </c>
      <c r="Z135" s="4" t="s">
        <v>112</v>
      </c>
      <c r="AA135" s="4" t="s">
        <v>824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57">
      <c r="A136" s="4" t="s">
        <v>825</v>
      </c>
      <c r="B136" s="4" t="s">
        <v>650</v>
      </c>
      <c r="C136" s="4" t="s">
        <v>97</v>
      </c>
      <c r="D136" s="4" t="s">
        <v>98</v>
      </c>
      <c r="E136" s="4" t="s">
        <v>800</v>
      </c>
      <c r="F136" s="4" t="s">
        <v>826</v>
      </c>
      <c r="G136" s="4" t="s">
        <v>827</v>
      </c>
      <c r="H136" s="4" t="s">
        <v>102</v>
      </c>
      <c r="I136" s="4" t="s">
        <v>103</v>
      </c>
      <c r="J136" s="4" t="s">
        <v>150</v>
      </c>
      <c r="K136" s="4" t="s">
        <v>105</v>
      </c>
      <c r="L136" s="4" t="s">
        <v>106</v>
      </c>
      <c r="M136" s="8">
        <v>3</v>
      </c>
      <c r="N136" s="8">
        <v>9</v>
      </c>
      <c r="O136" s="8">
        <v>195</v>
      </c>
      <c r="P136" s="8">
        <v>4</v>
      </c>
      <c r="Q136" s="8"/>
      <c r="R136" s="8"/>
      <c r="S136" s="4" t="s">
        <v>743</v>
      </c>
      <c r="T136" s="4" t="s">
        <v>828</v>
      </c>
      <c r="U136" s="4" t="s">
        <v>109</v>
      </c>
      <c r="V136" s="4" t="s">
        <v>109</v>
      </c>
      <c r="W136" s="4" t="s">
        <v>110</v>
      </c>
      <c r="X136" s="8"/>
      <c r="Y136" s="4" t="s">
        <v>787</v>
      </c>
      <c r="Z136" s="4" t="s">
        <v>112</v>
      </c>
      <c r="AA136" s="4" t="s">
        <v>829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57">
      <c r="A137" s="4" t="s">
        <v>830</v>
      </c>
      <c r="B137" s="4" t="s">
        <v>650</v>
      </c>
      <c r="C137" s="4" t="s">
        <v>97</v>
      </c>
      <c r="D137" s="4" t="s">
        <v>98</v>
      </c>
      <c r="E137" s="4" t="s">
        <v>800</v>
      </c>
      <c r="F137" s="4" t="s">
        <v>831</v>
      </c>
      <c r="G137" s="4" t="s">
        <v>832</v>
      </c>
      <c r="H137" s="4" t="s">
        <v>102</v>
      </c>
      <c r="I137" s="4" t="s">
        <v>103</v>
      </c>
      <c r="J137" s="4" t="s">
        <v>150</v>
      </c>
      <c r="K137" s="4" t="s">
        <v>105</v>
      </c>
      <c r="L137" s="4" t="s">
        <v>106</v>
      </c>
      <c r="M137" s="8">
        <v>1.5</v>
      </c>
      <c r="N137" s="8">
        <v>12</v>
      </c>
      <c r="O137" s="8">
        <v>100</v>
      </c>
      <c r="P137" s="8">
        <v>6</v>
      </c>
      <c r="Q137" s="8"/>
      <c r="R137" s="8"/>
      <c r="S137" s="4" t="s">
        <v>719</v>
      </c>
      <c r="T137" s="4" t="s">
        <v>833</v>
      </c>
      <c r="U137" s="4" t="s">
        <v>109</v>
      </c>
      <c r="V137" s="4" t="s">
        <v>109</v>
      </c>
      <c r="W137" s="4" t="s">
        <v>110</v>
      </c>
      <c r="X137" s="8"/>
      <c r="Y137" s="4" t="s">
        <v>787</v>
      </c>
      <c r="Z137" s="4" t="s">
        <v>112</v>
      </c>
      <c r="AA137" s="4" t="s">
        <v>834</v>
      </c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57">
      <c r="A138" s="4" t="s">
        <v>835</v>
      </c>
      <c r="B138" s="4" t="s">
        <v>650</v>
      </c>
      <c r="C138" s="4" t="s">
        <v>97</v>
      </c>
      <c r="D138" s="4" t="s">
        <v>98</v>
      </c>
      <c r="E138" s="4" t="s">
        <v>800</v>
      </c>
      <c r="F138" s="4" t="s">
        <v>836</v>
      </c>
      <c r="G138" s="4" t="s">
        <v>837</v>
      </c>
      <c r="H138" s="4" t="s">
        <v>102</v>
      </c>
      <c r="I138" s="4" t="s">
        <v>103</v>
      </c>
      <c r="J138" s="4" t="s">
        <v>150</v>
      </c>
      <c r="K138" s="4" t="s">
        <v>105</v>
      </c>
      <c r="L138" s="4" t="s">
        <v>106</v>
      </c>
      <c r="M138" s="8">
        <v>2.2000000000000002</v>
      </c>
      <c r="N138" s="8">
        <v>12</v>
      </c>
      <c r="O138" s="8">
        <v>150</v>
      </c>
      <c r="P138" s="8">
        <v>6</v>
      </c>
      <c r="Q138" s="8"/>
      <c r="R138" s="8"/>
      <c r="S138" s="4" t="s">
        <v>733</v>
      </c>
      <c r="T138" s="4" t="s">
        <v>838</v>
      </c>
      <c r="U138" s="4" t="s">
        <v>109</v>
      </c>
      <c r="V138" s="4" t="s">
        <v>109</v>
      </c>
      <c r="W138" s="4" t="s">
        <v>110</v>
      </c>
      <c r="X138" s="8"/>
      <c r="Y138" s="4" t="s">
        <v>787</v>
      </c>
      <c r="Z138" s="4" t="s">
        <v>112</v>
      </c>
      <c r="AA138" s="4" t="s">
        <v>839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57">
      <c r="A139" s="4" t="s">
        <v>840</v>
      </c>
      <c r="B139" s="4" t="s">
        <v>650</v>
      </c>
      <c r="C139" s="4" t="s">
        <v>97</v>
      </c>
      <c r="D139" s="4" t="s">
        <v>98</v>
      </c>
      <c r="E139" s="4" t="s">
        <v>800</v>
      </c>
      <c r="F139" s="4" t="s">
        <v>841</v>
      </c>
      <c r="G139" s="4" t="s">
        <v>842</v>
      </c>
      <c r="H139" s="4" t="s">
        <v>102</v>
      </c>
      <c r="I139" s="4" t="s">
        <v>103</v>
      </c>
      <c r="J139" s="4" t="s">
        <v>150</v>
      </c>
      <c r="K139" s="4" t="s">
        <v>105</v>
      </c>
      <c r="L139" s="4" t="s">
        <v>106</v>
      </c>
      <c r="M139" s="8">
        <v>3</v>
      </c>
      <c r="N139" s="8">
        <v>12</v>
      </c>
      <c r="O139" s="8">
        <v>175</v>
      </c>
      <c r="P139" s="8">
        <v>6</v>
      </c>
      <c r="Q139" s="8"/>
      <c r="R139" s="8"/>
      <c r="S139" s="4" t="s">
        <v>743</v>
      </c>
      <c r="T139" s="4" t="s">
        <v>843</v>
      </c>
      <c r="U139" s="4" t="s">
        <v>109</v>
      </c>
      <c r="V139" s="4" t="s">
        <v>109</v>
      </c>
      <c r="W139" s="4" t="s">
        <v>110</v>
      </c>
      <c r="X139" s="8"/>
      <c r="Y139" s="4" t="s">
        <v>787</v>
      </c>
      <c r="Z139" s="4" t="s">
        <v>112</v>
      </c>
      <c r="AA139" s="4" t="s">
        <v>844</v>
      </c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57">
      <c r="A140" s="4" t="s">
        <v>845</v>
      </c>
      <c r="B140" s="4" t="s">
        <v>650</v>
      </c>
      <c r="C140" s="4" t="s">
        <v>97</v>
      </c>
      <c r="D140" s="4" t="s">
        <v>98</v>
      </c>
      <c r="E140" s="4" t="s">
        <v>800</v>
      </c>
      <c r="F140" s="4" t="s">
        <v>846</v>
      </c>
      <c r="G140" s="4" t="s">
        <v>847</v>
      </c>
      <c r="H140" s="4" t="s">
        <v>102</v>
      </c>
      <c r="I140" s="4" t="s">
        <v>103</v>
      </c>
      <c r="J140" s="4" t="s">
        <v>150</v>
      </c>
      <c r="K140" s="4" t="s">
        <v>105</v>
      </c>
      <c r="L140" s="4" t="s">
        <v>106</v>
      </c>
      <c r="M140" s="8">
        <v>2.2000000000000002</v>
      </c>
      <c r="N140" s="8">
        <v>14</v>
      </c>
      <c r="O140" s="8">
        <v>125</v>
      </c>
      <c r="P140" s="8">
        <v>8</v>
      </c>
      <c r="Q140" s="8"/>
      <c r="R140" s="8"/>
      <c r="S140" s="4" t="s">
        <v>733</v>
      </c>
      <c r="T140" s="4" t="s">
        <v>848</v>
      </c>
      <c r="U140" s="4" t="s">
        <v>109</v>
      </c>
      <c r="V140" s="4" t="s">
        <v>109</v>
      </c>
      <c r="W140" s="4" t="s">
        <v>110</v>
      </c>
      <c r="X140" s="8"/>
      <c r="Y140" s="4" t="s">
        <v>787</v>
      </c>
      <c r="Z140" s="4" t="s">
        <v>112</v>
      </c>
      <c r="AA140" s="4" t="s">
        <v>849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57">
      <c r="A141" s="4" t="s">
        <v>850</v>
      </c>
      <c r="B141" s="4" t="s">
        <v>650</v>
      </c>
      <c r="C141" s="4" t="s">
        <v>97</v>
      </c>
      <c r="D141" s="4" t="s">
        <v>98</v>
      </c>
      <c r="E141" s="4" t="s">
        <v>800</v>
      </c>
      <c r="F141" s="4" t="s">
        <v>851</v>
      </c>
      <c r="G141" s="4" t="s">
        <v>852</v>
      </c>
      <c r="H141" s="4" t="s">
        <v>102</v>
      </c>
      <c r="I141" s="4" t="s">
        <v>103</v>
      </c>
      <c r="J141" s="4" t="s">
        <v>150</v>
      </c>
      <c r="K141" s="4" t="s">
        <v>105</v>
      </c>
      <c r="L141" s="4" t="s">
        <v>106</v>
      </c>
      <c r="M141" s="8">
        <v>3</v>
      </c>
      <c r="N141" s="8">
        <v>14</v>
      </c>
      <c r="O141" s="8">
        <v>150</v>
      </c>
      <c r="P141" s="8">
        <v>8</v>
      </c>
      <c r="Q141" s="8"/>
      <c r="R141" s="8"/>
      <c r="S141" s="4" t="s">
        <v>743</v>
      </c>
      <c r="T141" s="4" t="s">
        <v>853</v>
      </c>
      <c r="U141" s="4" t="s">
        <v>109</v>
      </c>
      <c r="V141" s="4" t="s">
        <v>109</v>
      </c>
      <c r="W141" s="4" t="s">
        <v>110</v>
      </c>
      <c r="X141" s="8"/>
      <c r="Y141" s="4" t="s">
        <v>787</v>
      </c>
      <c r="Z141" s="4" t="s">
        <v>112</v>
      </c>
      <c r="AA141" s="4" t="s">
        <v>854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57">
      <c r="A142" s="4" t="s">
        <v>855</v>
      </c>
      <c r="B142" s="4" t="s">
        <v>650</v>
      </c>
      <c r="C142" s="4" t="s">
        <v>97</v>
      </c>
      <c r="D142" s="4" t="s">
        <v>98</v>
      </c>
      <c r="E142" s="4" t="s">
        <v>800</v>
      </c>
      <c r="F142" s="4" t="s">
        <v>856</v>
      </c>
      <c r="G142" s="4" t="s">
        <v>857</v>
      </c>
      <c r="H142" s="4" t="s">
        <v>102</v>
      </c>
      <c r="I142" s="4" t="s">
        <v>103</v>
      </c>
      <c r="J142" s="4" t="s">
        <v>150</v>
      </c>
      <c r="K142" s="4" t="s">
        <v>105</v>
      </c>
      <c r="L142" s="4" t="s">
        <v>106</v>
      </c>
      <c r="M142" s="8">
        <v>1.5</v>
      </c>
      <c r="N142" s="8">
        <v>16</v>
      </c>
      <c r="O142" s="8">
        <v>70</v>
      </c>
      <c r="P142" s="8">
        <v>8</v>
      </c>
      <c r="Q142" s="8"/>
      <c r="R142" s="8"/>
      <c r="S142" s="4" t="s">
        <v>719</v>
      </c>
      <c r="T142" s="4" t="s">
        <v>858</v>
      </c>
      <c r="U142" s="4" t="s">
        <v>109</v>
      </c>
      <c r="V142" s="4" t="s">
        <v>109</v>
      </c>
      <c r="W142" s="4" t="s">
        <v>110</v>
      </c>
      <c r="X142" s="8"/>
      <c r="Y142" s="4" t="s">
        <v>787</v>
      </c>
      <c r="Z142" s="4" t="s">
        <v>112</v>
      </c>
      <c r="AA142" s="4" t="s">
        <v>859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57">
      <c r="A143" s="4" t="s">
        <v>860</v>
      </c>
      <c r="B143" s="4" t="s">
        <v>650</v>
      </c>
      <c r="C143" s="4" t="s">
        <v>97</v>
      </c>
      <c r="D143" s="4" t="s">
        <v>98</v>
      </c>
      <c r="E143" s="4" t="s">
        <v>800</v>
      </c>
      <c r="F143" s="4" t="s">
        <v>861</v>
      </c>
      <c r="G143" s="4" t="s">
        <v>862</v>
      </c>
      <c r="H143" s="4" t="s">
        <v>102</v>
      </c>
      <c r="I143" s="4" t="s">
        <v>103</v>
      </c>
      <c r="J143" s="4" t="s">
        <v>150</v>
      </c>
      <c r="K143" s="4" t="s">
        <v>105</v>
      </c>
      <c r="L143" s="4" t="s">
        <v>106</v>
      </c>
      <c r="M143" s="8">
        <v>2.2000000000000002</v>
      </c>
      <c r="N143" s="8">
        <v>18</v>
      </c>
      <c r="O143" s="8">
        <v>95</v>
      </c>
      <c r="P143" s="8">
        <v>8</v>
      </c>
      <c r="Q143" s="8"/>
      <c r="R143" s="8"/>
      <c r="S143" s="4" t="s">
        <v>733</v>
      </c>
      <c r="T143" s="4" t="s">
        <v>863</v>
      </c>
      <c r="U143" s="4" t="s">
        <v>109</v>
      </c>
      <c r="V143" s="4" t="s">
        <v>109</v>
      </c>
      <c r="W143" s="4" t="s">
        <v>110</v>
      </c>
      <c r="X143" s="8"/>
      <c r="Y143" s="4" t="s">
        <v>787</v>
      </c>
      <c r="Z143" s="4" t="s">
        <v>112</v>
      </c>
      <c r="AA143" s="4" t="s">
        <v>864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57">
      <c r="A144" s="4" t="s">
        <v>865</v>
      </c>
      <c r="B144" s="4" t="s">
        <v>650</v>
      </c>
      <c r="C144" s="4" t="s">
        <v>97</v>
      </c>
      <c r="D144" s="4" t="s">
        <v>98</v>
      </c>
      <c r="E144" s="4" t="s">
        <v>800</v>
      </c>
      <c r="F144" s="4" t="s">
        <v>866</v>
      </c>
      <c r="G144" s="4" t="s">
        <v>867</v>
      </c>
      <c r="H144" s="4" t="s">
        <v>102</v>
      </c>
      <c r="I144" s="4" t="s">
        <v>103</v>
      </c>
      <c r="J144" s="4" t="s">
        <v>150</v>
      </c>
      <c r="K144" s="4" t="s">
        <v>105</v>
      </c>
      <c r="L144" s="4" t="s">
        <v>106</v>
      </c>
      <c r="M144" s="8">
        <v>3</v>
      </c>
      <c r="N144" s="8">
        <v>18</v>
      </c>
      <c r="O144" s="8">
        <v>112</v>
      </c>
      <c r="P144" s="8">
        <v>8</v>
      </c>
      <c r="Q144" s="8"/>
      <c r="R144" s="8"/>
      <c r="S144" s="4" t="s">
        <v>743</v>
      </c>
      <c r="T144" s="4" t="s">
        <v>868</v>
      </c>
      <c r="U144" s="4" t="s">
        <v>109</v>
      </c>
      <c r="V144" s="4" t="s">
        <v>109</v>
      </c>
      <c r="W144" s="4" t="s">
        <v>110</v>
      </c>
      <c r="X144" s="8"/>
      <c r="Y144" s="4" t="s">
        <v>787</v>
      </c>
      <c r="Z144" s="4" t="s">
        <v>112</v>
      </c>
      <c r="AA144" s="4" t="s">
        <v>869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57">
      <c r="A145" s="4" t="s">
        <v>870</v>
      </c>
      <c r="B145" s="4" t="s">
        <v>650</v>
      </c>
      <c r="C145" s="4" t="s">
        <v>97</v>
      </c>
      <c r="D145" s="4" t="s">
        <v>98</v>
      </c>
      <c r="E145" s="4" t="s">
        <v>800</v>
      </c>
      <c r="F145" s="4" t="s">
        <v>871</v>
      </c>
      <c r="G145" s="4" t="s">
        <v>872</v>
      </c>
      <c r="H145" s="4" t="s">
        <v>102</v>
      </c>
      <c r="I145" s="4" t="s">
        <v>103</v>
      </c>
      <c r="J145" s="4" t="s">
        <v>150</v>
      </c>
      <c r="K145" s="4" t="s">
        <v>105</v>
      </c>
      <c r="L145" s="4" t="s">
        <v>106</v>
      </c>
      <c r="M145" s="8">
        <v>1.5</v>
      </c>
      <c r="N145" s="8">
        <v>20</v>
      </c>
      <c r="O145" s="8">
        <v>48</v>
      </c>
      <c r="P145" s="8">
        <v>10</v>
      </c>
      <c r="Q145" s="8"/>
      <c r="R145" s="8"/>
      <c r="S145" s="4" t="s">
        <v>719</v>
      </c>
      <c r="T145" s="4" t="s">
        <v>873</v>
      </c>
      <c r="U145" s="4" t="s">
        <v>109</v>
      </c>
      <c r="V145" s="4" t="s">
        <v>109</v>
      </c>
      <c r="W145" s="4" t="s">
        <v>110</v>
      </c>
      <c r="X145" s="8"/>
      <c r="Y145" s="4" t="s">
        <v>787</v>
      </c>
      <c r="Z145" s="4" t="s">
        <v>112</v>
      </c>
      <c r="AA145" s="4" t="s">
        <v>874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57">
      <c r="A146" s="4" t="s">
        <v>875</v>
      </c>
      <c r="B146" s="4" t="s">
        <v>650</v>
      </c>
      <c r="C146" s="4" t="s">
        <v>97</v>
      </c>
      <c r="D146" s="4" t="s">
        <v>98</v>
      </c>
      <c r="E146" s="4" t="s">
        <v>800</v>
      </c>
      <c r="F146" s="4" t="s">
        <v>876</v>
      </c>
      <c r="G146" s="4" t="s">
        <v>877</v>
      </c>
      <c r="H146" s="4" t="s">
        <v>102</v>
      </c>
      <c r="I146" s="4" t="s">
        <v>103</v>
      </c>
      <c r="J146" s="4" t="s">
        <v>150</v>
      </c>
      <c r="K146" s="4" t="s">
        <v>105</v>
      </c>
      <c r="L146" s="4" t="s">
        <v>106</v>
      </c>
      <c r="M146" s="8">
        <v>2.2000000000000002</v>
      </c>
      <c r="N146" s="8">
        <v>20</v>
      </c>
      <c r="O146" s="8">
        <v>60</v>
      </c>
      <c r="P146" s="8">
        <v>10</v>
      </c>
      <c r="Q146" s="8"/>
      <c r="R146" s="8"/>
      <c r="S146" s="4" t="s">
        <v>733</v>
      </c>
      <c r="T146" s="4" t="s">
        <v>878</v>
      </c>
      <c r="U146" s="4" t="s">
        <v>109</v>
      </c>
      <c r="V146" s="4" t="s">
        <v>109</v>
      </c>
      <c r="W146" s="4" t="s">
        <v>110</v>
      </c>
      <c r="X146" s="8"/>
      <c r="Y146" s="4" t="s">
        <v>787</v>
      </c>
      <c r="Z146" s="4" t="s">
        <v>112</v>
      </c>
      <c r="AA146" s="4" t="s">
        <v>879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57">
      <c r="A147" s="4" t="s">
        <v>880</v>
      </c>
      <c r="B147" s="4" t="s">
        <v>650</v>
      </c>
      <c r="C147" s="4" t="s">
        <v>97</v>
      </c>
      <c r="D147" s="4" t="s">
        <v>98</v>
      </c>
      <c r="E147" s="4" t="s">
        <v>800</v>
      </c>
      <c r="F147" s="4" t="s">
        <v>881</v>
      </c>
      <c r="G147" s="4" t="s">
        <v>882</v>
      </c>
      <c r="H147" s="4" t="s">
        <v>102</v>
      </c>
      <c r="I147" s="4" t="s">
        <v>103</v>
      </c>
      <c r="J147" s="4" t="s">
        <v>150</v>
      </c>
      <c r="K147" s="4" t="s">
        <v>105</v>
      </c>
      <c r="L147" s="4" t="s">
        <v>106</v>
      </c>
      <c r="M147" s="8">
        <v>3</v>
      </c>
      <c r="N147" s="8">
        <v>20</v>
      </c>
      <c r="O147" s="8">
        <v>75</v>
      </c>
      <c r="P147" s="8">
        <v>10</v>
      </c>
      <c r="Q147" s="8"/>
      <c r="R147" s="8"/>
      <c r="S147" s="4" t="s">
        <v>743</v>
      </c>
      <c r="T147" s="4" t="s">
        <v>883</v>
      </c>
      <c r="U147" s="4" t="s">
        <v>109</v>
      </c>
      <c r="V147" s="4" t="s">
        <v>109</v>
      </c>
      <c r="W147" s="4" t="s">
        <v>110</v>
      </c>
      <c r="X147" s="8"/>
      <c r="Y147" s="4" t="s">
        <v>787</v>
      </c>
      <c r="Z147" s="4" t="s">
        <v>112</v>
      </c>
      <c r="AA147" s="4" t="s">
        <v>884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57">
      <c r="A148" s="4" t="s">
        <v>885</v>
      </c>
      <c r="B148" s="4" t="s">
        <v>650</v>
      </c>
      <c r="C148" s="4" t="s">
        <v>97</v>
      </c>
      <c r="D148" s="4" t="s">
        <v>98</v>
      </c>
      <c r="E148" s="4" t="s">
        <v>800</v>
      </c>
      <c r="F148" s="4" t="s">
        <v>886</v>
      </c>
      <c r="G148" s="4" t="s">
        <v>887</v>
      </c>
      <c r="H148" s="4" t="s">
        <v>102</v>
      </c>
      <c r="I148" s="4" t="s">
        <v>103</v>
      </c>
      <c r="J148" s="4" t="s">
        <v>150</v>
      </c>
      <c r="K148" s="4" t="s">
        <v>105</v>
      </c>
      <c r="L148" s="4" t="s">
        <v>106</v>
      </c>
      <c r="M148" s="8">
        <v>1.5</v>
      </c>
      <c r="N148" s="8">
        <v>30</v>
      </c>
      <c r="O148" s="8">
        <v>40</v>
      </c>
      <c r="P148" s="8">
        <v>16</v>
      </c>
      <c r="Q148" s="8"/>
      <c r="R148" s="8"/>
      <c r="S148" s="4" t="s">
        <v>719</v>
      </c>
      <c r="T148" s="4" t="s">
        <v>888</v>
      </c>
      <c r="U148" s="4" t="s">
        <v>109</v>
      </c>
      <c r="V148" s="4" t="s">
        <v>109</v>
      </c>
      <c r="W148" s="4" t="s">
        <v>110</v>
      </c>
      <c r="X148" s="8"/>
      <c r="Y148" s="4" t="s">
        <v>787</v>
      </c>
      <c r="Z148" s="4" t="s">
        <v>112</v>
      </c>
      <c r="AA148" s="4" t="s">
        <v>889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57">
      <c r="A149" s="4" t="s">
        <v>890</v>
      </c>
      <c r="B149" s="4" t="s">
        <v>650</v>
      </c>
      <c r="C149" s="4" t="s">
        <v>97</v>
      </c>
      <c r="D149" s="4" t="s">
        <v>98</v>
      </c>
      <c r="E149" s="4" t="s">
        <v>800</v>
      </c>
      <c r="F149" s="4" t="s">
        <v>891</v>
      </c>
      <c r="G149" s="4" t="s">
        <v>892</v>
      </c>
      <c r="H149" s="4" t="s">
        <v>102</v>
      </c>
      <c r="I149" s="4" t="s">
        <v>103</v>
      </c>
      <c r="J149" s="4" t="s">
        <v>150</v>
      </c>
      <c r="K149" s="4" t="s">
        <v>105</v>
      </c>
      <c r="L149" s="4" t="s">
        <v>106</v>
      </c>
      <c r="M149" s="8">
        <v>2.2000000000000002</v>
      </c>
      <c r="N149" s="8">
        <v>30</v>
      </c>
      <c r="O149" s="8">
        <v>50</v>
      </c>
      <c r="P149" s="8">
        <v>16</v>
      </c>
      <c r="Q149" s="8"/>
      <c r="R149" s="8"/>
      <c r="S149" s="4" t="s">
        <v>733</v>
      </c>
      <c r="T149" s="4" t="s">
        <v>893</v>
      </c>
      <c r="U149" s="4" t="s">
        <v>109</v>
      </c>
      <c r="V149" s="4" t="s">
        <v>109</v>
      </c>
      <c r="W149" s="4" t="s">
        <v>110</v>
      </c>
      <c r="X149" s="8"/>
      <c r="Y149" s="4" t="s">
        <v>787</v>
      </c>
      <c r="Z149" s="4" t="s">
        <v>112</v>
      </c>
      <c r="AA149" s="4" t="s">
        <v>894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57">
      <c r="A150" s="4" t="s">
        <v>895</v>
      </c>
      <c r="B150" s="4" t="s">
        <v>650</v>
      </c>
      <c r="C150" s="4" t="s">
        <v>97</v>
      </c>
      <c r="D150" s="4" t="s">
        <v>98</v>
      </c>
      <c r="E150" s="4" t="s">
        <v>800</v>
      </c>
      <c r="F150" s="4" t="s">
        <v>896</v>
      </c>
      <c r="G150" s="4" t="s">
        <v>897</v>
      </c>
      <c r="H150" s="4" t="s">
        <v>102</v>
      </c>
      <c r="I150" s="4" t="s">
        <v>103</v>
      </c>
      <c r="J150" s="4" t="s">
        <v>150</v>
      </c>
      <c r="K150" s="4" t="s">
        <v>105</v>
      </c>
      <c r="L150" s="4" t="s">
        <v>106</v>
      </c>
      <c r="M150" s="8">
        <v>3</v>
      </c>
      <c r="N150" s="8">
        <v>30</v>
      </c>
      <c r="O150" s="8">
        <v>75</v>
      </c>
      <c r="P150" s="8">
        <v>16</v>
      </c>
      <c r="Q150" s="8"/>
      <c r="R150" s="8"/>
      <c r="S150" s="4" t="s">
        <v>743</v>
      </c>
      <c r="T150" s="4" t="s">
        <v>898</v>
      </c>
      <c r="U150" s="4" t="s">
        <v>109</v>
      </c>
      <c r="V150" s="4" t="s">
        <v>109</v>
      </c>
      <c r="W150" s="4" t="s">
        <v>110</v>
      </c>
      <c r="X150" s="8"/>
      <c r="Y150" s="4" t="s">
        <v>787</v>
      </c>
      <c r="Z150" s="4" t="s">
        <v>112</v>
      </c>
      <c r="AA150" s="4" t="s">
        <v>899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57">
      <c r="A151" s="4" t="s">
        <v>900</v>
      </c>
      <c r="B151" s="4" t="s">
        <v>650</v>
      </c>
      <c r="C151" s="4" t="s">
        <v>97</v>
      </c>
      <c r="D151" s="4" t="s">
        <v>98</v>
      </c>
      <c r="E151" s="4" t="s">
        <v>800</v>
      </c>
      <c r="F151" s="4" t="s">
        <v>901</v>
      </c>
      <c r="G151" s="4" t="s">
        <v>902</v>
      </c>
      <c r="H151" s="4" t="s">
        <v>102</v>
      </c>
      <c r="I151" s="4" t="s">
        <v>103</v>
      </c>
      <c r="J151" s="4" t="s">
        <v>150</v>
      </c>
      <c r="K151" s="4" t="s">
        <v>105</v>
      </c>
      <c r="L151" s="4" t="s">
        <v>106</v>
      </c>
      <c r="M151" s="8">
        <v>2.2000000000000002</v>
      </c>
      <c r="N151" s="8">
        <v>36</v>
      </c>
      <c r="O151" s="8">
        <v>45</v>
      </c>
      <c r="P151" s="8">
        <v>18</v>
      </c>
      <c r="Q151" s="8"/>
      <c r="R151" s="8"/>
      <c r="S151" s="4" t="s">
        <v>733</v>
      </c>
      <c r="T151" s="4" t="s">
        <v>903</v>
      </c>
      <c r="U151" s="4" t="s">
        <v>109</v>
      </c>
      <c r="V151" s="4" t="s">
        <v>109</v>
      </c>
      <c r="W151" s="4" t="s">
        <v>110</v>
      </c>
      <c r="X151" s="8"/>
      <c r="Y151" s="4" t="s">
        <v>787</v>
      </c>
      <c r="Z151" s="4" t="s">
        <v>112</v>
      </c>
      <c r="AA151" s="4" t="s">
        <v>904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57">
      <c r="A152" s="4" t="s">
        <v>905</v>
      </c>
      <c r="B152" s="4" t="s">
        <v>650</v>
      </c>
      <c r="C152" s="4" t="s">
        <v>97</v>
      </c>
      <c r="D152" s="4" t="s">
        <v>98</v>
      </c>
      <c r="E152" s="4" t="s">
        <v>800</v>
      </c>
      <c r="F152" s="4" t="s">
        <v>906</v>
      </c>
      <c r="G152" s="4" t="s">
        <v>907</v>
      </c>
      <c r="H152" s="4" t="s">
        <v>102</v>
      </c>
      <c r="I152" s="4" t="s">
        <v>103</v>
      </c>
      <c r="J152" s="4" t="s">
        <v>150</v>
      </c>
      <c r="K152" s="4" t="s">
        <v>105</v>
      </c>
      <c r="L152" s="4" t="s">
        <v>106</v>
      </c>
      <c r="M152" s="8">
        <v>3</v>
      </c>
      <c r="N152" s="8">
        <v>41</v>
      </c>
      <c r="O152" s="8">
        <v>52</v>
      </c>
      <c r="P152" s="8">
        <v>18</v>
      </c>
      <c r="Q152" s="8"/>
      <c r="R152" s="8"/>
      <c r="S152" s="4" t="s">
        <v>743</v>
      </c>
      <c r="T152" s="4" t="s">
        <v>908</v>
      </c>
      <c r="U152" s="4" t="s">
        <v>109</v>
      </c>
      <c r="V152" s="4" t="s">
        <v>109</v>
      </c>
      <c r="W152" s="4" t="s">
        <v>110</v>
      </c>
      <c r="X152" s="8"/>
      <c r="Y152" s="4" t="s">
        <v>787</v>
      </c>
      <c r="Z152" s="4" t="s">
        <v>112</v>
      </c>
      <c r="AA152" s="4" t="s">
        <v>909</v>
      </c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57">
      <c r="A153" s="4" t="s">
        <v>910</v>
      </c>
      <c r="B153" s="4" t="s">
        <v>650</v>
      </c>
      <c r="C153" s="4" t="s">
        <v>97</v>
      </c>
      <c r="D153" s="4" t="s">
        <v>98</v>
      </c>
      <c r="E153" s="4" t="s">
        <v>911</v>
      </c>
      <c r="F153" s="4" t="s">
        <v>912</v>
      </c>
      <c r="G153" s="4" t="s">
        <v>913</v>
      </c>
      <c r="H153" s="4" t="s">
        <v>102</v>
      </c>
      <c r="I153" s="4" t="s">
        <v>103</v>
      </c>
      <c r="J153" s="4" t="s">
        <v>150</v>
      </c>
      <c r="K153" s="4" t="s">
        <v>105</v>
      </c>
      <c r="L153" s="4" t="s">
        <v>106</v>
      </c>
      <c r="M153" s="8">
        <v>1.5</v>
      </c>
      <c r="N153" s="8">
        <v>5</v>
      </c>
      <c r="O153" s="8">
        <v>135</v>
      </c>
      <c r="P153" s="8">
        <v>2</v>
      </c>
      <c r="Q153" s="8"/>
      <c r="R153" s="8"/>
      <c r="S153" s="4" t="s">
        <v>719</v>
      </c>
      <c r="T153" s="4" t="s">
        <v>914</v>
      </c>
      <c r="U153" s="4" t="s">
        <v>109</v>
      </c>
      <c r="V153" s="4" t="s">
        <v>109</v>
      </c>
      <c r="W153" s="4" t="s">
        <v>110</v>
      </c>
      <c r="X153" s="8"/>
      <c r="Y153" s="4" t="s">
        <v>787</v>
      </c>
      <c r="Z153" s="4" t="s">
        <v>112</v>
      </c>
      <c r="AA153" s="4" t="s">
        <v>915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57">
      <c r="A154" s="4" t="s">
        <v>916</v>
      </c>
      <c r="B154" s="4" t="s">
        <v>650</v>
      </c>
      <c r="C154" s="4" t="s">
        <v>97</v>
      </c>
      <c r="D154" s="4" t="s">
        <v>98</v>
      </c>
      <c r="E154" s="4" t="s">
        <v>911</v>
      </c>
      <c r="F154" s="4" t="s">
        <v>917</v>
      </c>
      <c r="G154" s="4" t="s">
        <v>918</v>
      </c>
      <c r="H154" s="4" t="s">
        <v>102</v>
      </c>
      <c r="I154" s="4" t="s">
        <v>103</v>
      </c>
      <c r="J154" s="4" t="s">
        <v>150</v>
      </c>
      <c r="K154" s="4" t="s">
        <v>105</v>
      </c>
      <c r="L154" s="4" t="s">
        <v>106</v>
      </c>
      <c r="M154" s="8">
        <v>1.5</v>
      </c>
      <c r="N154" s="8">
        <v>6</v>
      </c>
      <c r="O154" s="8">
        <v>115</v>
      </c>
      <c r="P154" s="8">
        <v>3</v>
      </c>
      <c r="Q154" s="8"/>
      <c r="R154" s="8"/>
      <c r="S154" s="4" t="s">
        <v>719</v>
      </c>
      <c r="T154" s="4" t="s">
        <v>919</v>
      </c>
      <c r="U154" s="4" t="s">
        <v>109</v>
      </c>
      <c r="V154" s="4" t="s">
        <v>109</v>
      </c>
      <c r="W154" s="4" t="s">
        <v>110</v>
      </c>
      <c r="X154" s="8"/>
      <c r="Y154" s="4" t="s">
        <v>787</v>
      </c>
      <c r="Z154" s="4" t="s">
        <v>112</v>
      </c>
      <c r="AA154" s="4" t="s">
        <v>920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57">
      <c r="A155" s="4" t="s">
        <v>921</v>
      </c>
      <c r="B155" s="4" t="s">
        <v>650</v>
      </c>
      <c r="C155" s="4" t="s">
        <v>97</v>
      </c>
      <c r="D155" s="4" t="s">
        <v>98</v>
      </c>
      <c r="E155" s="4" t="s">
        <v>922</v>
      </c>
      <c r="F155" s="4" t="s">
        <v>923</v>
      </c>
      <c r="G155" s="4" t="s">
        <v>924</v>
      </c>
      <c r="H155" s="4" t="s">
        <v>102</v>
      </c>
      <c r="I155" s="4" t="s">
        <v>103</v>
      </c>
      <c r="J155" s="4" t="s">
        <v>150</v>
      </c>
      <c r="K155" s="4" t="s">
        <v>105</v>
      </c>
      <c r="L155" s="4" t="s">
        <v>106</v>
      </c>
      <c r="M155" s="8">
        <v>1.5</v>
      </c>
      <c r="N155" s="8">
        <v>4</v>
      </c>
      <c r="O155" s="8">
        <v>205</v>
      </c>
      <c r="P155" s="8">
        <v>2</v>
      </c>
      <c r="Q155" s="8"/>
      <c r="R155" s="8"/>
      <c r="S155" s="4" t="s">
        <v>719</v>
      </c>
      <c r="T155" s="4" t="s">
        <v>925</v>
      </c>
      <c r="U155" s="4" t="s">
        <v>109</v>
      </c>
      <c r="V155" s="4" t="s">
        <v>109</v>
      </c>
      <c r="W155" s="4" t="s">
        <v>110</v>
      </c>
      <c r="X155" s="8"/>
      <c r="Y155" s="4" t="s">
        <v>787</v>
      </c>
      <c r="Z155" s="4" t="s">
        <v>112</v>
      </c>
      <c r="AA155" s="4" t="s">
        <v>926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57">
      <c r="A156" s="4" t="s">
        <v>927</v>
      </c>
      <c r="B156" s="4" t="s">
        <v>650</v>
      </c>
      <c r="C156" s="4" t="s">
        <v>97</v>
      </c>
      <c r="D156" s="4" t="s">
        <v>98</v>
      </c>
      <c r="E156" s="4" t="s">
        <v>922</v>
      </c>
      <c r="F156" s="4" t="s">
        <v>928</v>
      </c>
      <c r="G156" s="4" t="s">
        <v>929</v>
      </c>
      <c r="H156" s="4" t="s">
        <v>102</v>
      </c>
      <c r="I156" s="4" t="s">
        <v>103</v>
      </c>
      <c r="J156" s="4" t="s">
        <v>150</v>
      </c>
      <c r="K156" s="4" t="s">
        <v>105</v>
      </c>
      <c r="L156" s="4" t="s">
        <v>106</v>
      </c>
      <c r="M156" s="8">
        <v>2.2000000000000002</v>
      </c>
      <c r="N156" s="8">
        <v>4</v>
      </c>
      <c r="O156" s="8">
        <v>303</v>
      </c>
      <c r="P156" s="8">
        <v>2</v>
      </c>
      <c r="Q156" s="8"/>
      <c r="R156" s="8"/>
      <c r="S156" s="4" t="s">
        <v>733</v>
      </c>
      <c r="T156" s="4" t="s">
        <v>930</v>
      </c>
      <c r="U156" s="4" t="s">
        <v>109</v>
      </c>
      <c r="V156" s="4" t="s">
        <v>109</v>
      </c>
      <c r="W156" s="4" t="s">
        <v>110</v>
      </c>
      <c r="X156" s="8"/>
      <c r="Y156" s="4" t="s">
        <v>787</v>
      </c>
      <c r="Z156" s="4" t="s">
        <v>112</v>
      </c>
      <c r="AA156" s="4" t="s">
        <v>931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57">
      <c r="A157" s="4" t="s">
        <v>932</v>
      </c>
      <c r="B157" s="4" t="s">
        <v>650</v>
      </c>
      <c r="C157" s="4" t="s">
        <v>97</v>
      </c>
      <c r="D157" s="4" t="s">
        <v>98</v>
      </c>
      <c r="E157" s="4" t="s">
        <v>922</v>
      </c>
      <c r="F157" s="4" t="s">
        <v>933</v>
      </c>
      <c r="G157" s="4" t="s">
        <v>934</v>
      </c>
      <c r="H157" s="4" t="s">
        <v>102</v>
      </c>
      <c r="I157" s="4" t="s">
        <v>103</v>
      </c>
      <c r="J157" s="4" t="s">
        <v>150</v>
      </c>
      <c r="K157" s="4" t="s">
        <v>105</v>
      </c>
      <c r="L157" s="4" t="s">
        <v>106</v>
      </c>
      <c r="M157" s="8">
        <v>1.5</v>
      </c>
      <c r="N157" s="8">
        <v>6</v>
      </c>
      <c r="O157" s="8">
        <v>203</v>
      </c>
      <c r="P157" s="8">
        <v>3</v>
      </c>
      <c r="Q157" s="8"/>
      <c r="R157" s="8"/>
      <c r="S157" s="4" t="s">
        <v>719</v>
      </c>
      <c r="T157" s="4" t="s">
        <v>935</v>
      </c>
      <c r="U157" s="4" t="s">
        <v>109</v>
      </c>
      <c r="V157" s="4" t="s">
        <v>109</v>
      </c>
      <c r="W157" s="4" t="s">
        <v>110</v>
      </c>
      <c r="X157" s="8"/>
      <c r="Y157" s="4" t="s">
        <v>787</v>
      </c>
      <c r="Z157" s="4" t="s">
        <v>112</v>
      </c>
      <c r="AA157" s="4" t="s">
        <v>936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57">
      <c r="A158" s="4" t="s">
        <v>937</v>
      </c>
      <c r="B158" s="4" t="s">
        <v>650</v>
      </c>
      <c r="C158" s="4" t="s">
        <v>97</v>
      </c>
      <c r="D158" s="4" t="s">
        <v>98</v>
      </c>
      <c r="E158" s="4" t="s">
        <v>922</v>
      </c>
      <c r="F158" s="4" t="s">
        <v>938</v>
      </c>
      <c r="G158" s="4" t="s">
        <v>939</v>
      </c>
      <c r="H158" s="4" t="s">
        <v>102</v>
      </c>
      <c r="I158" s="4" t="s">
        <v>103</v>
      </c>
      <c r="J158" s="4" t="s">
        <v>150</v>
      </c>
      <c r="K158" s="4" t="s">
        <v>105</v>
      </c>
      <c r="L158" s="4" t="s">
        <v>106</v>
      </c>
      <c r="M158" s="8">
        <v>2.2000000000000002</v>
      </c>
      <c r="N158" s="8">
        <v>6.5</v>
      </c>
      <c r="O158" s="8">
        <v>255</v>
      </c>
      <c r="P158" s="8">
        <v>3</v>
      </c>
      <c r="Q158" s="8"/>
      <c r="R158" s="8"/>
      <c r="S158" s="4" t="s">
        <v>733</v>
      </c>
      <c r="T158" s="4" t="s">
        <v>940</v>
      </c>
      <c r="U158" s="4" t="s">
        <v>109</v>
      </c>
      <c r="V158" s="4" t="s">
        <v>109</v>
      </c>
      <c r="W158" s="4" t="s">
        <v>110</v>
      </c>
      <c r="X158" s="8"/>
      <c r="Y158" s="4" t="s">
        <v>787</v>
      </c>
      <c r="Z158" s="4" t="s">
        <v>112</v>
      </c>
      <c r="AA158" s="4" t="s">
        <v>941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57">
      <c r="A159" s="4" t="s">
        <v>942</v>
      </c>
      <c r="B159" s="4" t="s">
        <v>650</v>
      </c>
      <c r="C159" s="4" t="s">
        <v>97</v>
      </c>
      <c r="D159" s="4" t="s">
        <v>98</v>
      </c>
      <c r="E159" s="4" t="s">
        <v>922</v>
      </c>
      <c r="F159" s="4" t="s">
        <v>943</v>
      </c>
      <c r="G159" s="4" t="s">
        <v>944</v>
      </c>
      <c r="H159" s="4" t="s">
        <v>102</v>
      </c>
      <c r="I159" s="4" t="s">
        <v>103</v>
      </c>
      <c r="J159" s="4" t="s">
        <v>150</v>
      </c>
      <c r="K159" s="4" t="s">
        <v>105</v>
      </c>
      <c r="L159" s="4" t="s">
        <v>106</v>
      </c>
      <c r="M159" s="8">
        <v>3</v>
      </c>
      <c r="N159" s="8">
        <v>6.5</v>
      </c>
      <c r="O159" s="8">
        <v>300</v>
      </c>
      <c r="P159" s="8">
        <v>3</v>
      </c>
      <c r="Q159" s="8"/>
      <c r="R159" s="8"/>
      <c r="S159" s="4" t="s">
        <v>743</v>
      </c>
      <c r="T159" s="4" t="s">
        <v>945</v>
      </c>
      <c r="U159" s="4" t="s">
        <v>109</v>
      </c>
      <c r="V159" s="4" t="s">
        <v>109</v>
      </c>
      <c r="W159" s="4" t="s">
        <v>110</v>
      </c>
      <c r="X159" s="8"/>
      <c r="Y159" s="4" t="s">
        <v>787</v>
      </c>
      <c r="Z159" s="4" t="s">
        <v>112</v>
      </c>
      <c r="AA159" s="4" t="s">
        <v>946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42.75">
      <c r="A160" s="4" t="s">
        <v>947</v>
      </c>
      <c r="B160" s="4" t="s">
        <v>650</v>
      </c>
      <c r="C160" s="4" t="s">
        <v>97</v>
      </c>
      <c r="D160" s="4" t="s">
        <v>98</v>
      </c>
      <c r="E160" s="4" t="s">
        <v>922</v>
      </c>
      <c r="F160" s="4" t="s">
        <v>948</v>
      </c>
      <c r="G160" s="4" t="s">
        <v>949</v>
      </c>
      <c r="H160" s="4" t="s">
        <v>102</v>
      </c>
      <c r="I160" s="4" t="s">
        <v>103</v>
      </c>
      <c r="J160" s="4" t="s">
        <v>150</v>
      </c>
      <c r="K160" s="4" t="s">
        <v>105</v>
      </c>
      <c r="L160" s="4" t="s">
        <v>106</v>
      </c>
      <c r="M160" s="8">
        <v>1.5</v>
      </c>
      <c r="N160" s="8">
        <v>9</v>
      </c>
      <c r="O160" s="8">
        <v>90</v>
      </c>
      <c r="P160" s="8">
        <v>5</v>
      </c>
      <c r="Q160" s="8"/>
      <c r="R160" s="8"/>
      <c r="S160" s="4" t="s">
        <v>719</v>
      </c>
      <c r="T160" s="4" t="s">
        <v>950</v>
      </c>
      <c r="U160" s="4" t="s">
        <v>109</v>
      </c>
      <c r="V160" s="4" t="s">
        <v>109</v>
      </c>
      <c r="W160" s="4" t="s">
        <v>110</v>
      </c>
      <c r="X160" s="8"/>
      <c r="Y160" s="4" t="s">
        <v>787</v>
      </c>
      <c r="Z160" s="4" t="s">
        <v>112</v>
      </c>
      <c r="AA160" s="4" t="s">
        <v>951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57">
      <c r="A161" s="4" t="s">
        <v>952</v>
      </c>
      <c r="B161" s="4" t="s">
        <v>650</v>
      </c>
      <c r="C161" s="4" t="s">
        <v>97</v>
      </c>
      <c r="D161" s="4" t="s">
        <v>98</v>
      </c>
      <c r="E161" s="4" t="s">
        <v>922</v>
      </c>
      <c r="F161" s="4" t="s">
        <v>953</v>
      </c>
      <c r="G161" s="4" t="s">
        <v>954</v>
      </c>
      <c r="H161" s="4" t="s">
        <v>102</v>
      </c>
      <c r="I161" s="4" t="s">
        <v>103</v>
      </c>
      <c r="J161" s="4" t="s">
        <v>150</v>
      </c>
      <c r="K161" s="4" t="s">
        <v>105</v>
      </c>
      <c r="L161" s="4" t="s">
        <v>106</v>
      </c>
      <c r="M161" s="8">
        <v>2.2000000000000002</v>
      </c>
      <c r="N161" s="8">
        <v>9</v>
      </c>
      <c r="O161" s="8">
        <v>135</v>
      </c>
      <c r="P161" s="8">
        <v>5</v>
      </c>
      <c r="Q161" s="8"/>
      <c r="R161" s="8"/>
      <c r="S161" s="4" t="s">
        <v>733</v>
      </c>
      <c r="T161" s="4" t="s">
        <v>955</v>
      </c>
      <c r="U161" s="4" t="s">
        <v>109</v>
      </c>
      <c r="V161" s="4" t="s">
        <v>109</v>
      </c>
      <c r="W161" s="4" t="s">
        <v>110</v>
      </c>
      <c r="X161" s="8"/>
      <c r="Y161" s="4" t="s">
        <v>787</v>
      </c>
      <c r="Z161" s="4" t="s">
        <v>112</v>
      </c>
      <c r="AA161" s="4" t="s">
        <v>956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57">
      <c r="A162" s="4" t="s">
        <v>957</v>
      </c>
      <c r="B162" s="4" t="s">
        <v>650</v>
      </c>
      <c r="C162" s="4" t="s">
        <v>97</v>
      </c>
      <c r="D162" s="4" t="s">
        <v>98</v>
      </c>
      <c r="E162" s="4" t="s">
        <v>922</v>
      </c>
      <c r="F162" s="4" t="s">
        <v>958</v>
      </c>
      <c r="G162" s="4" t="s">
        <v>959</v>
      </c>
      <c r="H162" s="4" t="s">
        <v>102</v>
      </c>
      <c r="I162" s="4" t="s">
        <v>103</v>
      </c>
      <c r="J162" s="4" t="s">
        <v>150</v>
      </c>
      <c r="K162" s="4" t="s">
        <v>105</v>
      </c>
      <c r="L162" s="4" t="s">
        <v>106</v>
      </c>
      <c r="M162" s="8">
        <v>3</v>
      </c>
      <c r="N162" s="8">
        <v>9</v>
      </c>
      <c r="O162" s="8">
        <v>220</v>
      </c>
      <c r="P162" s="8">
        <v>5</v>
      </c>
      <c r="Q162" s="8"/>
      <c r="R162" s="8"/>
      <c r="S162" s="4" t="s">
        <v>743</v>
      </c>
      <c r="T162" s="4" t="s">
        <v>960</v>
      </c>
      <c r="U162" s="4" t="s">
        <v>109</v>
      </c>
      <c r="V162" s="4" t="s">
        <v>109</v>
      </c>
      <c r="W162" s="4" t="s">
        <v>110</v>
      </c>
      <c r="X162" s="8"/>
      <c r="Y162" s="4" t="s">
        <v>787</v>
      </c>
      <c r="Z162" s="4" t="s">
        <v>112</v>
      </c>
      <c r="AA162" s="4" t="s">
        <v>961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57">
      <c r="A163" s="4" t="s">
        <v>962</v>
      </c>
      <c r="B163" s="4" t="s">
        <v>650</v>
      </c>
      <c r="C163" s="4" t="s">
        <v>97</v>
      </c>
      <c r="D163" s="4" t="s">
        <v>98</v>
      </c>
      <c r="E163" s="4" t="s">
        <v>922</v>
      </c>
      <c r="F163" s="4" t="s">
        <v>963</v>
      </c>
      <c r="G163" s="4" t="s">
        <v>964</v>
      </c>
      <c r="H163" s="4" t="s">
        <v>102</v>
      </c>
      <c r="I163" s="4" t="s">
        <v>103</v>
      </c>
      <c r="J163" s="4" t="s">
        <v>150</v>
      </c>
      <c r="K163" s="4" t="s">
        <v>105</v>
      </c>
      <c r="L163" s="4" t="s">
        <v>106</v>
      </c>
      <c r="M163" s="8">
        <v>1.5</v>
      </c>
      <c r="N163" s="8">
        <v>16</v>
      </c>
      <c r="O163" s="8">
        <v>70</v>
      </c>
      <c r="P163" s="8">
        <v>8</v>
      </c>
      <c r="Q163" s="8"/>
      <c r="R163" s="8"/>
      <c r="S163" s="4" t="s">
        <v>719</v>
      </c>
      <c r="T163" s="4" t="s">
        <v>965</v>
      </c>
      <c r="U163" s="4" t="s">
        <v>109</v>
      </c>
      <c r="V163" s="4" t="s">
        <v>109</v>
      </c>
      <c r="W163" s="4" t="s">
        <v>110</v>
      </c>
      <c r="X163" s="8"/>
      <c r="Y163" s="4" t="s">
        <v>787</v>
      </c>
      <c r="Z163" s="4" t="s">
        <v>112</v>
      </c>
      <c r="AA163" s="4" t="s">
        <v>966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57">
      <c r="A164" s="4" t="s">
        <v>967</v>
      </c>
      <c r="B164" s="4" t="s">
        <v>650</v>
      </c>
      <c r="C164" s="4" t="s">
        <v>97</v>
      </c>
      <c r="D164" s="4" t="s">
        <v>98</v>
      </c>
      <c r="E164" s="4" t="s">
        <v>922</v>
      </c>
      <c r="F164" s="4" t="s">
        <v>968</v>
      </c>
      <c r="G164" s="4" t="s">
        <v>969</v>
      </c>
      <c r="H164" s="4" t="s">
        <v>102</v>
      </c>
      <c r="I164" s="4" t="s">
        <v>103</v>
      </c>
      <c r="J164" s="4" t="s">
        <v>150</v>
      </c>
      <c r="K164" s="4" t="s">
        <v>105</v>
      </c>
      <c r="L164" s="4" t="s">
        <v>106</v>
      </c>
      <c r="M164" s="8">
        <v>2.2000000000000002</v>
      </c>
      <c r="N164" s="8">
        <v>18</v>
      </c>
      <c r="O164" s="8">
        <v>95</v>
      </c>
      <c r="P164" s="8">
        <v>8</v>
      </c>
      <c r="Q164" s="8"/>
      <c r="R164" s="8"/>
      <c r="S164" s="4" t="s">
        <v>733</v>
      </c>
      <c r="T164" s="4" t="s">
        <v>970</v>
      </c>
      <c r="U164" s="4" t="s">
        <v>109</v>
      </c>
      <c r="V164" s="4" t="s">
        <v>109</v>
      </c>
      <c r="W164" s="4" t="s">
        <v>110</v>
      </c>
      <c r="X164" s="8"/>
      <c r="Y164" s="4" t="s">
        <v>787</v>
      </c>
      <c r="Z164" s="4" t="s">
        <v>112</v>
      </c>
      <c r="AA164" s="4" t="s">
        <v>971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57">
      <c r="A165" s="4" t="s">
        <v>972</v>
      </c>
      <c r="B165" s="4" t="s">
        <v>650</v>
      </c>
      <c r="C165" s="4" t="s">
        <v>97</v>
      </c>
      <c r="D165" s="4" t="s">
        <v>98</v>
      </c>
      <c r="E165" s="4" t="s">
        <v>922</v>
      </c>
      <c r="F165" s="4" t="s">
        <v>973</v>
      </c>
      <c r="G165" s="4" t="s">
        <v>974</v>
      </c>
      <c r="H165" s="4" t="s">
        <v>102</v>
      </c>
      <c r="I165" s="4" t="s">
        <v>103</v>
      </c>
      <c r="J165" s="4" t="s">
        <v>150</v>
      </c>
      <c r="K165" s="4" t="s">
        <v>105</v>
      </c>
      <c r="L165" s="4" t="s">
        <v>106</v>
      </c>
      <c r="M165" s="8">
        <v>3</v>
      </c>
      <c r="N165" s="8">
        <v>18</v>
      </c>
      <c r="O165" s="8">
        <v>130</v>
      </c>
      <c r="P165" s="8">
        <v>8</v>
      </c>
      <c r="Q165" s="8"/>
      <c r="R165" s="8"/>
      <c r="S165" s="4" t="s">
        <v>743</v>
      </c>
      <c r="T165" s="4" t="s">
        <v>975</v>
      </c>
      <c r="U165" s="4" t="s">
        <v>109</v>
      </c>
      <c r="V165" s="4" t="s">
        <v>109</v>
      </c>
      <c r="W165" s="4" t="s">
        <v>110</v>
      </c>
      <c r="X165" s="8"/>
      <c r="Y165" s="4" t="s">
        <v>787</v>
      </c>
      <c r="Z165" s="4" t="s">
        <v>112</v>
      </c>
      <c r="AA165" s="4" t="s">
        <v>976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57">
      <c r="A166" s="4" t="s">
        <v>977</v>
      </c>
      <c r="B166" s="4" t="s">
        <v>650</v>
      </c>
      <c r="C166" s="4" t="s">
        <v>97</v>
      </c>
      <c r="D166" s="4" t="s">
        <v>98</v>
      </c>
      <c r="E166" s="4" t="s">
        <v>922</v>
      </c>
      <c r="F166" s="4" t="s">
        <v>978</v>
      </c>
      <c r="G166" s="4" t="s">
        <v>979</v>
      </c>
      <c r="H166" s="4" t="s">
        <v>102</v>
      </c>
      <c r="I166" s="4" t="s">
        <v>103</v>
      </c>
      <c r="J166" s="4" t="s">
        <v>150</v>
      </c>
      <c r="K166" s="4" t="s">
        <v>105</v>
      </c>
      <c r="L166" s="4" t="s">
        <v>106</v>
      </c>
      <c r="M166" s="8">
        <v>1.5</v>
      </c>
      <c r="N166" s="8">
        <v>20</v>
      </c>
      <c r="O166" s="8">
        <v>48</v>
      </c>
      <c r="P166" s="8">
        <v>14</v>
      </c>
      <c r="Q166" s="8"/>
      <c r="R166" s="8"/>
      <c r="S166" s="4" t="s">
        <v>719</v>
      </c>
      <c r="T166" s="4" t="s">
        <v>980</v>
      </c>
      <c r="U166" s="4" t="s">
        <v>109</v>
      </c>
      <c r="V166" s="4" t="s">
        <v>109</v>
      </c>
      <c r="W166" s="4" t="s">
        <v>110</v>
      </c>
      <c r="X166" s="8"/>
      <c r="Y166" s="4" t="s">
        <v>787</v>
      </c>
      <c r="Z166" s="4" t="s">
        <v>112</v>
      </c>
      <c r="AA166" s="4" t="s">
        <v>981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57">
      <c r="A167" s="4" t="s">
        <v>982</v>
      </c>
      <c r="B167" s="4" t="s">
        <v>650</v>
      </c>
      <c r="C167" s="4" t="s">
        <v>97</v>
      </c>
      <c r="D167" s="4" t="s">
        <v>98</v>
      </c>
      <c r="E167" s="4" t="s">
        <v>922</v>
      </c>
      <c r="F167" s="4" t="s">
        <v>983</v>
      </c>
      <c r="G167" s="4" t="s">
        <v>984</v>
      </c>
      <c r="H167" s="4" t="s">
        <v>102</v>
      </c>
      <c r="I167" s="4" t="s">
        <v>103</v>
      </c>
      <c r="J167" s="4" t="s">
        <v>150</v>
      </c>
      <c r="K167" s="4" t="s">
        <v>105</v>
      </c>
      <c r="L167" s="4" t="s">
        <v>106</v>
      </c>
      <c r="M167" s="8">
        <v>2.2000000000000002</v>
      </c>
      <c r="N167" s="8">
        <v>20</v>
      </c>
      <c r="O167" s="8">
        <v>70</v>
      </c>
      <c r="P167" s="8">
        <v>14</v>
      </c>
      <c r="Q167" s="8"/>
      <c r="R167" s="8"/>
      <c r="S167" s="4" t="s">
        <v>733</v>
      </c>
      <c r="T167" s="4" t="s">
        <v>985</v>
      </c>
      <c r="U167" s="4" t="s">
        <v>109</v>
      </c>
      <c r="V167" s="4" t="s">
        <v>109</v>
      </c>
      <c r="W167" s="4" t="s">
        <v>110</v>
      </c>
      <c r="X167" s="8"/>
      <c r="Y167" s="4" t="s">
        <v>787</v>
      </c>
      <c r="Z167" s="4" t="s">
        <v>112</v>
      </c>
      <c r="AA167" s="4" t="s">
        <v>986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57">
      <c r="A168" s="4" t="s">
        <v>987</v>
      </c>
      <c r="B168" s="4" t="s">
        <v>650</v>
      </c>
      <c r="C168" s="4" t="s">
        <v>97</v>
      </c>
      <c r="D168" s="4" t="s">
        <v>98</v>
      </c>
      <c r="E168" s="4" t="s">
        <v>922</v>
      </c>
      <c r="F168" s="4" t="s">
        <v>988</v>
      </c>
      <c r="G168" s="4" t="s">
        <v>989</v>
      </c>
      <c r="H168" s="4" t="s">
        <v>102</v>
      </c>
      <c r="I168" s="4" t="s">
        <v>103</v>
      </c>
      <c r="J168" s="4" t="s">
        <v>150</v>
      </c>
      <c r="K168" s="4" t="s">
        <v>105</v>
      </c>
      <c r="L168" s="4" t="s">
        <v>106</v>
      </c>
      <c r="M168" s="8">
        <v>3</v>
      </c>
      <c r="N168" s="8">
        <v>20</v>
      </c>
      <c r="O168" s="8">
        <v>82</v>
      </c>
      <c r="P168" s="8">
        <v>14</v>
      </c>
      <c r="Q168" s="8"/>
      <c r="R168" s="8"/>
      <c r="S168" s="4" t="s">
        <v>743</v>
      </c>
      <c r="T168" s="4" t="s">
        <v>990</v>
      </c>
      <c r="U168" s="4" t="s">
        <v>109</v>
      </c>
      <c r="V168" s="4" t="s">
        <v>109</v>
      </c>
      <c r="W168" s="4" t="s">
        <v>110</v>
      </c>
      <c r="X168" s="8"/>
      <c r="Y168" s="4" t="s">
        <v>787</v>
      </c>
      <c r="Z168" s="4" t="s">
        <v>112</v>
      </c>
      <c r="AA168" s="4" t="s">
        <v>991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57">
      <c r="A169" s="4" t="s">
        <v>992</v>
      </c>
      <c r="B169" s="4" t="s">
        <v>650</v>
      </c>
      <c r="C169" s="4" t="s">
        <v>97</v>
      </c>
      <c r="D169" s="4" t="s">
        <v>98</v>
      </c>
      <c r="E169" s="4" t="s">
        <v>922</v>
      </c>
      <c r="F169" s="4" t="s">
        <v>993</v>
      </c>
      <c r="G169" s="4" t="s">
        <v>994</v>
      </c>
      <c r="H169" s="4" t="s">
        <v>102</v>
      </c>
      <c r="I169" s="4" t="s">
        <v>103</v>
      </c>
      <c r="J169" s="4" t="s">
        <v>150</v>
      </c>
      <c r="K169" s="4" t="s">
        <v>105</v>
      </c>
      <c r="L169" s="4" t="s">
        <v>106</v>
      </c>
      <c r="M169" s="8">
        <v>1.5</v>
      </c>
      <c r="N169" s="8">
        <v>25</v>
      </c>
      <c r="O169" s="8">
        <v>25</v>
      </c>
      <c r="P169" s="8">
        <v>15</v>
      </c>
      <c r="Q169" s="8"/>
      <c r="R169" s="8"/>
      <c r="S169" s="4" t="s">
        <v>719</v>
      </c>
      <c r="T169" s="4" t="s">
        <v>995</v>
      </c>
      <c r="U169" s="4" t="s">
        <v>109</v>
      </c>
      <c r="V169" s="4" t="s">
        <v>109</v>
      </c>
      <c r="W169" s="4" t="s">
        <v>110</v>
      </c>
      <c r="X169" s="8"/>
      <c r="Y169" s="4" t="s">
        <v>787</v>
      </c>
      <c r="Z169" s="4" t="s">
        <v>112</v>
      </c>
      <c r="AA169" s="4" t="s">
        <v>996</v>
      </c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57">
      <c r="A170" s="4" t="s">
        <v>997</v>
      </c>
      <c r="B170" s="4" t="s">
        <v>650</v>
      </c>
      <c r="C170" s="4" t="s">
        <v>97</v>
      </c>
      <c r="D170" s="4" t="s">
        <v>98</v>
      </c>
      <c r="E170" s="4" t="s">
        <v>922</v>
      </c>
      <c r="F170" s="4" t="s">
        <v>998</v>
      </c>
      <c r="G170" s="4" t="s">
        <v>999</v>
      </c>
      <c r="H170" s="4" t="s">
        <v>102</v>
      </c>
      <c r="I170" s="4" t="s">
        <v>103</v>
      </c>
      <c r="J170" s="4" t="s">
        <v>150</v>
      </c>
      <c r="K170" s="4" t="s">
        <v>105</v>
      </c>
      <c r="L170" s="4" t="s">
        <v>106</v>
      </c>
      <c r="M170" s="8">
        <v>2.2000000000000002</v>
      </c>
      <c r="N170" s="8">
        <v>25</v>
      </c>
      <c r="O170" s="8">
        <v>38</v>
      </c>
      <c r="P170" s="8">
        <v>15</v>
      </c>
      <c r="Q170" s="8"/>
      <c r="R170" s="8"/>
      <c r="S170" s="4" t="s">
        <v>733</v>
      </c>
      <c r="T170" s="4" t="s">
        <v>1000</v>
      </c>
      <c r="U170" s="4" t="s">
        <v>109</v>
      </c>
      <c r="V170" s="4" t="s">
        <v>109</v>
      </c>
      <c r="W170" s="4" t="s">
        <v>110</v>
      </c>
      <c r="X170" s="8"/>
      <c r="Y170" s="4" t="s">
        <v>787</v>
      </c>
      <c r="Z170" s="4" t="s">
        <v>112</v>
      </c>
      <c r="AA170" s="4" t="s">
        <v>1001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57">
      <c r="A171" s="4" t="s">
        <v>1002</v>
      </c>
      <c r="B171" s="4" t="s">
        <v>650</v>
      </c>
      <c r="C171" s="4" t="s">
        <v>97</v>
      </c>
      <c r="D171" s="4" t="s">
        <v>98</v>
      </c>
      <c r="E171" s="4" t="s">
        <v>922</v>
      </c>
      <c r="F171" s="4" t="s">
        <v>1003</v>
      </c>
      <c r="G171" s="4" t="s">
        <v>1004</v>
      </c>
      <c r="H171" s="4" t="s">
        <v>102</v>
      </c>
      <c r="I171" s="4" t="s">
        <v>103</v>
      </c>
      <c r="J171" s="4" t="s">
        <v>150</v>
      </c>
      <c r="K171" s="4" t="s">
        <v>105</v>
      </c>
      <c r="L171" s="4" t="s">
        <v>106</v>
      </c>
      <c r="M171" s="8">
        <v>3</v>
      </c>
      <c r="N171" s="8">
        <v>30</v>
      </c>
      <c r="O171" s="8">
        <v>50</v>
      </c>
      <c r="P171" s="8">
        <v>15</v>
      </c>
      <c r="Q171" s="8"/>
      <c r="R171" s="8"/>
      <c r="S171" s="4" t="s">
        <v>743</v>
      </c>
      <c r="T171" s="4" t="s">
        <v>1005</v>
      </c>
      <c r="U171" s="4" t="s">
        <v>109</v>
      </c>
      <c r="V171" s="4" t="s">
        <v>109</v>
      </c>
      <c r="W171" s="4" t="s">
        <v>110</v>
      </c>
      <c r="X171" s="8"/>
      <c r="Y171" s="4" t="s">
        <v>787</v>
      </c>
      <c r="Z171" s="4" t="s">
        <v>112</v>
      </c>
      <c r="AA171" s="4" t="s">
        <v>1006</v>
      </c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42.75">
      <c r="A172" s="4" t="s">
        <v>1007</v>
      </c>
      <c r="B172" s="4" t="s">
        <v>650</v>
      </c>
      <c r="C172" s="4" t="s">
        <v>331</v>
      </c>
      <c r="D172" s="4" t="s">
        <v>332</v>
      </c>
      <c r="E172" s="4" t="s">
        <v>333</v>
      </c>
      <c r="F172" s="4" t="s">
        <v>1008</v>
      </c>
      <c r="G172" s="4" t="s">
        <v>1009</v>
      </c>
      <c r="H172" s="4" t="s">
        <v>102</v>
      </c>
      <c r="I172" s="4" t="s">
        <v>103</v>
      </c>
      <c r="J172" s="4" t="s">
        <v>150</v>
      </c>
      <c r="K172" s="4" t="s">
        <v>105</v>
      </c>
      <c r="L172" s="4" t="s">
        <v>106</v>
      </c>
      <c r="M172" s="8"/>
      <c r="N172" s="8">
        <v>12</v>
      </c>
      <c r="O172" s="8">
        <v>30</v>
      </c>
      <c r="P172" s="8"/>
      <c r="Q172" s="8"/>
      <c r="R172" s="8"/>
      <c r="S172" s="4" t="s">
        <v>352</v>
      </c>
      <c r="T172" s="4" t="s">
        <v>1010</v>
      </c>
      <c r="U172" s="4" t="s">
        <v>109</v>
      </c>
      <c r="V172" s="4" t="s">
        <v>109</v>
      </c>
      <c r="W172" s="4" t="s">
        <v>110</v>
      </c>
      <c r="X172" s="8"/>
      <c r="Y172" s="4" t="s">
        <v>338</v>
      </c>
      <c r="Z172" s="4" t="s">
        <v>112</v>
      </c>
      <c r="AA172" s="4" t="s">
        <v>1011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42.75">
      <c r="A173" s="4" t="s">
        <v>1012</v>
      </c>
      <c r="B173" s="4" t="s">
        <v>650</v>
      </c>
      <c r="C173" s="4" t="s">
        <v>331</v>
      </c>
      <c r="D173" s="4" t="s">
        <v>332</v>
      </c>
      <c r="E173" s="4" t="s">
        <v>333</v>
      </c>
      <c r="F173" s="4" t="s">
        <v>1013</v>
      </c>
      <c r="G173" s="4" t="s">
        <v>1014</v>
      </c>
      <c r="H173" s="4" t="s">
        <v>102</v>
      </c>
      <c r="I173" s="4" t="s">
        <v>103</v>
      </c>
      <c r="J173" s="4" t="s">
        <v>150</v>
      </c>
      <c r="K173" s="4" t="s">
        <v>105</v>
      </c>
      <c r="L173" s="4" t="s">
        <v>106</v>
      </c>
      <c r="M173" s="8"/>
      <c r="N173" s="8">
        <v>53</v>
      </c>
      <c r="O173" s="8">
        <v>100</v>
      </c>
      <c r="P173" s="8"/>
      <c r="Q173" s="8"/>
      <c r="R173" s="8"/>
      <c r="S173" s="4" t="s">
        <v>1015</v>
      </c>
      <c r="T173" s="4" t="s">
        <v>1016</v>
      </c>
      <c r="U173" s="4" t="s">
        <v>109</v>
      </c>
      <c r="V173" s="4" t="s">
        <v>109</v>
      </c>
      <c r="W173" s="4" t="s">
        <v>110</v>
      </c>
      <c r="X173" s="8"/>
      <c r="Y173" s="4" t="s">
        <v>338</v>
      </c>
      <c r="Z173" s="4" t="s">
        <v>112</v>
      </c>
      <c r="AA173" s="4" t="s">
        <v>1017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42.75">
      <c r="A174" s="4" t="s">
        <v>1018</v>
      </c>
      <c r="B174" s="4" t="s">
        <v>650</v>
      </c>
      <c r="C174" s="4" t="s">
        <v>331</v>
      </c>
      <c r="D174" s="4" t="s">
        <v>332</v>
      </c>
      <c r="E174" s="4" t="s">
        <v>333</v>
      </c>
      <c r="F174" s="4" t="s">
        <v>1019</v>
      </c>
      <c r="G174" s="4" t="s">
        <v>1020</v>
      </c>
      <c r="H174" s="4" t="s">
        <v>102</v>
      </c>
      <c r="I174" s="4" t="s">
        <v>103</v>
      </c>
      <c r="J174" s="4" t="s">
        <v>150</v>
      </c>
      <c r="K174" s="4" t="s">
        <v>105</v>
      </c>
      <c r="L174" s="4" t="s">
        <v>106</v>
      </c>
      <c r="M174" s="8"/>
      <c r="N174" s="8">
        <v>79</v>
      </c>
      <c r="O174" s="8">
        <v>160</v>
      </c>
      <c r="P174" s="8"/>
      <c r="Q174" s="8"/>
      <c r="R174" s="8"/>
      <c r="S174" s="4" t="s">
        <v>1021</v>
      </c>
      <c r="T174" s="4" t="s">
        <v>1022</v>
      </c>
      <c r="U174" s="4" t="s">
        <v>109</v>
      </c>
      <c r="V174" s="4" t="s">
        <v>109</v>
      </c>
      <c r="W174" s="4" t="s">
        <v>110</v>
      </c>
      <c r="X174" s="8"/>
      <c r="Y174" s="4" t="s">
        <v>338</v>
      </c>
      <c r="Z174" s="4" t="s">
        <v>112</v>
      </c>
      <c r="AA174" s="4" t="s">
        <v>1023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42.75">
      <c r="A175" s="4" t="s">
        <v>1024</v>
      </c>
      <c r="B175" s="4" t="s">
        <v>650</v>
      </c>
      <c r="C175" s="4" t="s">
        <v>331</v>
      </c>
      <c r="D175" s="4" t="s">
        <v>332</v>
      </c>
      <c r="E175" s="4" t="s">
        <v>341</v>
      </c>
      <c r="F175" s="4" t="s">
        <v>1025</v>
      </c>
      <c r="G175" s="4" t="s">
        <v>1026</v>
      </c>
      <c r="H175" s="4" t="s">
        <v>102</v>
      </c>
      <c r="I175" s="4" t="s">
        <v>103</v>
      </c>
      <c r="J175" s="4" t="s">
        <v>344</v>
      </c>
      <c r="K175" s="4" t="s">
        <v>105</v>
      </c>
      <c r="L175" s="4" t="s">
        <v>106</v>
      </c>
      <c r="M175" s="8"/>
      <c r="N175" s="8">
        <v>3.9</v>
      </c>
      <c r="O175" s="8">
        <v>250</v>
      </c>
      <c r="P175" s="8"/>
      <c r="Q175" s="8"/>
      <c r="R175" s="8"/>
      <c r="S175" s="4" t="s">
        <v>1015</v>
      </c>
      <c r="T175" s="4" t="s">
        <v>1027</v>
      </c>
      <c r="U175" s="4" t="s">
        <v>109</v>
      </c>
      <c r="V175" s="4" t="s">
        <v>109</v>
      </c>
      <c r="W175" s="4" t="s">
        <v>110</v>
      </c>
      <c r="X175" s="8"/>
      <c r="Y175" s="4" t="s">
        <v>347</v>
      </c>
      <c r="Z175" s="4" t="s">
        <v>112</v>
      </c>
      <c r="AA175" s="4" t="s">
        <v>1028</v>
      </c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42.75">
      <c r="A176" s="4" t="s">
        <v>1029</v>
      </c>
      <c r="B176" s="4" t="s">
        <v>650</v>
      </c>
      <c r="C176" s="4" t="s">
        <v>331</v>
      </c>
      <c r="D176" s="4" t="s">
        <v>332</v>
      </c>
      <c r="E176" s="4" t="s">
        <v>341</v>
      </c>
      <c r="F176" s="4" t="s">
        <v>1030</v>
      </c>
      <c r="G176" s="4" t="s">
        <v>1031</v>
      </c>
      <c r="H176" s="4" t="s">
        <v>102</v>
      </c>
      <c r="I176" s="4" t="s">
        <v>103</v>
      </c>
      <c r="J176" s="4" t="s">
        <v>344</v>
      </c>
      <c r="K176" s="4" t="s">
        <v>105</v>
      </c>
      <c r="L176" s="4" t="s">
        <v>106</v>
      </c>
      <c r="M176" s="8"/>
      <c r="N176" s="8">
        <v>2.5</v>
      </c>
      <c r="O176" s="8">
        <v>450</v>
      </c>
      <c r="P176" s="8"/>
      <c r="Q176" s="8"/>
      <c r="R176" s="8"/>
      <c r="S176" s="4" t="s">
        <v>1021</v>
      </c>
      <c r="T176" s="4" t="s">
        <v>1032</v>
      </c>
      <c r="U176" s="4" t="s">
        <v>109</v>
      </c>
      <c r="V176" s="4" t="s">
        <v>109</v>
      </c>
      <c r="W176" s="4" t="s">
        <v>110</v>
      </c>
      <c r="X176" s="8"/>
      <c r="Y176" s="4" t="s">
        <v>347</v>
      </c>
      <c r="Z176" s="4" t="s">
        <v>112</v>
      </c>
      <c r="AA176" s="4" t="s">
        <v>1033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42.75">
      <c r="A177" s="4" t="s">
        <v>1034</v>
      </c>
      <c r="B177" s="4" t="s">
        <v>650</v>
      </c>
      <c r="C177" s="4" t="s">
        <v>331</v>
      </c>
      <c r="D177" s="4" t="s">
        <v>332</v>
      </c>
      <c r="E177" s="4" t="s">
        <v>356</v>
      </c>
      <c r="F177" s="4" t="s">
        <v>1035</v>
      </c>
      <c r="G177" s="4" t="s">
        <v>1036</v>
      </c>
      <c r="H177" s="4" t="s">
        <v>250</v>
      </c>
      <c r="I177" s="4" t="s">
        <v>250</v>
      </c>
      <c r="J177" s="4" t="s">
        <v>150</v>
      </c>
      <c r="K177" s="4" t="s">
        <v>105</v>
      </c>
      <c r="L177" s="4" t="s">
        <v>106</v>
      </c>
      <c r="M177" s="8"/>
      <c r="N177" s="8">
        <v>8.5</v>
      </c>
      <c r="O177" s="8">
        <v>50</v>
      </c>
      <c r="P177" s="8"/>
      <c r="Q177" s="8"/>
      <c r="R177" s="8"/>
      <c r="S177" s="4" t="s">
        <v>1015</v>
      </c>
      <c r="T177" s="4" t="s">
        <v>1037</v>
      </c>
      <c r="U177" s="4" t="s">
        <v>110</v>
      </c>
      <c r="V177" s="4" t="s">
        <v>109</v>
      </c>
      <c r="W177" s="4" t="s">
        <v>110</v>
      </c>
      <c r="X177" s="8"/>
      <c r="Y177" s="4" t="s">
        <v>361</v>
      </c>
      <c r="Z177" s="4" t="s">
        <v>112</v>
      </c>
      <c r="AA177" s="4" t="s">
        <v>1038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42.75">
      <c r="A178" s="4" t="s">
        <v>1039</v>
      </c>
      <c r="B178" s="4" t="s">
        <v>650</v>
      </c>
      <c r="C178" s="4" t="s">
        <v>331</v>
      </c>
      <c r="D178" s="4" t="s">
        <v>332</v>
      </c>
      <c r="E178" s="4" t="s">
        <v>356</v>
      </c>
      <c r="F178" s="4" t="s">
        <v>1040</v>
      </c>
      <c r="G178" s="4" t="s">
        <v>1041</v>
      </c>
      <c r="H178" s="4" t="s">
        <v>250</v>
      </c>
      <c r="I178" s="4" t="s">
        <v>250</v>
      </c>
      <c r="J178" s="4" t="s">
        <v>150</v>
      </c>
      <c r="K178" s="4" t="s">
        <v>105</v>
      </c>
      <c r="L178" s="4" t="s">
        <v>106</v>
      </c>
      <c r="M178" s="8"/>
      <c r="N178" s="8">
        <v>59</v>
      </c>
      <c r="O178" s="8">
        <v>70</v>
      </c>
      <c r="P178" s="8"/>
      <c r="Q178" s="8"/>
      <c r="R178" s="8"/>
      <c r="S178" s="4" t="s">
        <v>1021</v>
      </c>
      <c r="T178" s="4" t="s">
        <v>1042</v>
      </c>
      <c r="U178" s="4" t="s">
        <v>110</v>
      </c>
      <c r="V178" s="4" t="s">
        <v>109</v>
      </c>
      <c r="W178" s="4" t="s">
        <v>110</v>
      </c>
      <c r="X178" s="8"/>
      <c r="Y178" s="4" t="s">
        <v>361</v>
      </c>
      <c r="Z178" s="4" t="s">
        <v>112</v>
      </c>
      <c r="AA178" s="4" t="s">
        <v>1043</v>
      </c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57">
      <c r="A179" s="4" t="s">
        <v>1044</v>
      </c>
      <c r="B179" s="4" t="s">
        <v>650</v>
      </c>
      <c r="C179" s="4" t="s">
        <v>370</v>
      </c>
      <c r="D179" s="4" t="s">
        <v>371</v>
      </c>
      <c r="E179" s="4" t="s">
        <v>372</v>
      </c>
      <c r="F179" s="4" t="s">
        <v>1045</v>
      </c>
      <c r="G179" s="4" t="s">
        <v>1046</v>
      </c>
      <c r="H179" s="4" t="s">
        <v>102</v>
      </c>
      <c r="I179" s="4" t="s">
        <v>103</v>
      </c>
      <c r="J179" s="4" t="s">
        <v>150</v>
      </c>
      <c r="K179" s="4" t="s">
        <v>105</v>
      </c>
      <c r="L179" s="4" t="s">
        <v>106</v>
      </c>
      <c r="M179" s="8">
        <v>1.1000000000000001</v>
      </c>
      <c r="N179" s="8">
        <v>4</v>
      </c>
      <c r="O179" s="8">
        <v>128</v>
      </c>
      <c r="P179" s="8"/>
      <c r="Q179" s="8"/>
      <c r="R179" s="8"/>
      <c r="S179" s="4" t="s">
        <v>1047</v>
      </c>
      <c r="T179" s="4" t="s">
        <v>1048</v>
      </c>
      <c r="U179" s="4" t="s">
        <v>109</v>
      </c>
      <c r="V179" s="4" t="s">
        <v>109</v>
      </c>
      <c r="W179" s="4" t="s">
        <v>110</v>
      </c>
      <c r="X179" s="8"/>
      <c r="Y179" s="4" t="s">
        <v>377</v>
      </c>
      <c r="Z179" s="4" t="s">
        <v>112</v>
      </c>
      <c r="AA179" s="4" t="s">
        <v>1049</v>
      </c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57">
      <c r="A180" s="4" t="s">
        <v>1050</v>
      </c>
      <c r="B180" s="4" t="s">
        <v>650</v>
      </c>
      <c r="C180" s="4" t="s">
        <v>370</v>
      </c>
      <c r="D180" s="4" t="s">
        <v>371</v>
      </c>
      <c r="E180" s="4" t="s">
        <v>372</v>
      </c>
      <c r="F180" s="4" t="s">
        <v>1051</v>
      </c>
      <c r="G180" s="4" t="s">
        <v>1052</v>
      </c>
      <c r="H180" s="4" t="s">
        <v>102</v>
      </c>
      <c r="I180" s="4" t="s">
        <v>103</v>
      </c>
      <c r="J180" s="4" t="s">
        <v>150</v>
      </c>
      <c r="K180" s="4" t="s">
        <v>105</v>
      </c>
      <c r="L180" s="4" t="s">
        <v>106</v>
      </c>
      <c r="M180" s="8">
        <v>1.1000000000000001</v>
      </c>
      <c r="N180" s="8">
        <v>4</v>
      </c>
      <c r="O180" s="8">
        <v>128</v>
      </c>
      <c r="P180" s="8"/>
      <c r="Q180" s="8"/>
      <c r="R180" s="8"/>
      <c r="S180" s="4" t="s">
        <v>1053</v>
      </c>
      <c r="T180" s="4" t="s">
        <v>1054</v>
      </c>
      <c r="U180" s="4" t="s">
        <v>109</v>
      </c>
      <c r="V180" s="4" t="s">
        <v>109</v>
      </c>
      <c r="W180" s="4" t="s">
        <v>110</v>
      </c>
      <c r="X180" s="8"/>
      <c r="Y180" s="4" t="s">
        <v>377</v>
      </c>
      <c r="Z180" s="4" t="s">
        <v>112</v>
      </c>
      <c r="AA180" s="4" t="s">
        <v>1055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57">
      <c r="A181" s="4" t="s">
        <v>1056</v>
      </c>
      <c r="B181" s="4" t="s">
        <v>650</v>
      </c>
      <c r="C181" s="4" t="s">
        <v>370</v>
      </c>
      <c r="D181" s="4" t="s">
        <v>371</v>
      </c>
      <c r="E181" s="4" t="s">
        <v>372</v>
      </c>
      <c r="F181" s="4" t="s">
        <v>1057</v>
      </c>
      <c r="G181" s="4" t="s">
        <v>1058</v>
      </c>
      <c r="H181" s="4" t="s">
        <v>102</v>
      </c>
      <c r="I181" s="4" t="s">
        <v>103</v>
      </c>
      <c r="J181" s="4" t="s">
        <v>150</v>
      </c>
      <c r="K181" s="4" t="s">
        <v>105</v>
      </c>
      <c r="L181" s="4" t="s">
        <v>106</v>
      </c>
      <c r="M181" s="8">
        <v>1.3</v>
      </c>
      <c r="N181" s="8">
        <v>4</v>
      </c>
      <c r="O181" s="8">
        <v>152</v>
      </c>
      <c r="P181" s="8"/>
      <c r="Q181" s="8"/>
      <c r="R181" s="8"/>
      <c r="S181" s="4" t="s">
        <v>1059</v>
      </c>
      <c r="T181" s="4" t="s">
        <v>1060</v>
      </c>
      <c r="U181" s="4" t="s">
        <v>109</v>
      </c>
      <c r="V181" s="4" t="s">
        <v>109</v>
      </c>
      <c r="W181" s="4" t="s">
        <v>110</v>
      </c>
      <c r="X181" s="8"/>
      <c r="Y181" s="4" t="s">
        <v>377</v>
      </c>
      <c r="Z181" s="4" t="s">
        <v>112</v>
      </c>
      <c r="AA181" s="4" t="s">
        <v>1061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57">
      <c r="A182" s="4" t="s">
        <v>1062</v>
      </c>
      <c r="B182" s="4" t="s">
        <v>650</v>
      </c>
      <c r="C182" s="4" t="s">
        <v>370</v>
      </c>
      <c r="D182" s="4" t="s">
        <v>371</v>
      </c>
      <c r="E182" s="4" t="s">
        <v>372</v>
      </c>
      <c r="F182" s="4" t="s">
        <v>1063</v>
      </c>
      <c r="G182" s="4" t="s">
        <v>1064</v>
      </c>
      <c r="H182" s="4" t="s">
        <v>102</v>
      </c>
      <c r="I182" s="4" t="s">
        <v>103</v>
      </c>
      <c r="J182" s="4" t="s">
        <v>150</v>
      </c>
      <c r="K182" s="4" t="s">
        <v>105</v>
      </c>
      <c r="L182" s="4" t="s">
        <v>106</v>
      </c>
      <c r="M182" s="8">
        <v>1.5</v>
      </c>
      <c r="N182" s="8">
        <v>4</v>
      </c>
      <c r="O182" s="8">
        <v>180</v>
      </c>
      <c r="P182" s="8"/>
      <c r="Q182" s="8"/>
      <c r="R182" s="8"/>
      <c r="S182" s="4" t="s">
        <v>1065</v>
      </c>
      <c r="T182" s="4" t="s">
        <v>1066</v>
      </c>
      <c r="U182" s="4" t="s">
        <v>109</v>
      </c>
      <c r="V182" s="4" t="s">
        <v>109</v>
      </c>
      <c r="W182" s="4" t="s">
        <v>110</v>
      </c>
      <c r="X182" s="8"/>
      <c r="Y182" s="4" t="s">
        <v>377</v>
      </c>
      <c r="Z182" s="4" t="s">
        <v>112</v>
      </c>
      <c r="AA182" s="4" t="s">
        <v>1067</v>
      </c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71.25">
      <c r="A183" s="4" t="s">
        <v>1068</v>
      </c>
      <c r="B183" s="4" t="s">
        <v>650</v>
      </c>
      <c r="C183" s="4" t="s">
        <v>370</v>
      </c>
      <c r="D183" s="4" t="s">
        <v>371</v>
      </c>
      <c r="E183" s="4" t="s">
        <v>372</v>
      </c>
      <c r="F183" s="4" t="s">
        <v>1069</v>
      </c>
      <c r="G183" s="4" t="s">
        <v>1070</v>
      </c>
      <c r="H183" s="4" t="s">
        <v>102</v>
      </c>
      <c r="I183" s="4" t="s">
        <v>103</v>
      </c>
      <c r="J183" s="4" t="s">
        <v>150</v>
      </c>
      <c r="K183" s="4" t="s">
        <v>105</v>
      </c>
      <c r="L183" s="4" t="s">
        <v>106</v>
      </c>
      <c r="M183" s="8">
        <v>2.2000000000000002</v>
      </c>
      <c r="N183" s="8">
        <v>4</v>
      </c>
      <c r="O183" s="8">
        <v>232</v>
      </c>
      <c r="P183" s="8"/>
      <c r="Q183" s="8"/>
      <c r="R183" s="8"/>
      <c r="S183" s="4" t="s">
        <v>1071</v>
      </c>
      <c r="T183" s="4" t="s">
        <v>1072</v>
      </c>
      <c r="U183" s="4" t="s">
        <v>109</v>
      </c>
      <c r="V183" s="4" t="s">
        <v>109</v>
      </c>
      <c r="W183" s="4" t="s">
        <v>110</v>
      </c>
      <c r="X183" s="8"/>
      <c r="Y183" s="4" t="s">
        <v>377</v>
      </c>
      <c r="Z183" s="4" t="s">
        <v>112</v>
      </c>
      <c r="AA183" s="4" t="s">
        <v>1073</v>
      </c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71.25">
      <c r="A184" s="4" t="s">
        <v>1074</v>
      </c>
      <c r="B184" s="4" t="s">
        <v>650</v>
      </c>
      <c r="C184" s="4" t="s">
        <v>370</v>
      </c>
      <c r="D184" s="4" t="s">
        <v>371</v>
      </c>
      <c r="E184" s="4" t="s">
        <v>372</v>
      </c>
      <c r="F184" s="4" t="s">
        <v>1075</v>
      </c>
      <c r="G184" s="4" t="s">
        <v>1076</v>
      </c>
      <c r="H184" s="4" t="s">
        <v>102</v>
      </c>
      <c r="I184" s="4" t="s">
        <v>103</v>
      </c>
      <c r="J184" s="4" t="s">
        <v>150</v>
      </c>
      <c r="K184" s="4" t="s">
        <v>105</v>
      </c>
      <c r="L184" s="4" t="s">
        <v>106</v>
      </c>
      <c r="M184" s="8">
        <v>1.1000000000000001</v>
      </c>
      <c r="N184" s="8">
        <v>6</v>
      </c>
      <c r="O184" s="8">
        <v>88</v>
      </c>
      <c r="P184" s="8"/>
      <c r="Q184" s="8"/>
      <c r="R184" s="8"/>
      <c r="S184" s="4" t="s">
        <v>1047</v>
      </c>
      <c r="T184" s="4" t="s">
        <v>1077</v>
      </c>
      <c r="U184" s="4" t="s">
        <v>109</v>
      </c>
      <c r="V184" s="4" t="s">
        <v>109</v>
      </c>
      <c r="W184" s="4" t="s">
        <v>110</v>
      </c>
      <c r="X184" s="8"/>
      <c r="Y184" s="4" t="s">
        <v>377</v>
      </c>
      <c r="Z184" s="4" t="s">
        <v>112</v>
      </c>
      <c r="AA184" s="4" t="s">
        <v>1078</v>
      </c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71.25">
      <c r="A185" s="4" t="s">
        <v>1079</v>
      </c>
      <c r="B185" s="4" t="s">
        <v>650</v>
      </c>
      <c r="C185" s="4" t="s">
        <v>370</v>
      </c>
      <c r="D185" s="4" t="s">
        <v>371</v>
      </c>
      <c r="E185" s="4" t="s">
        <v>372</v>
      </c>
      <c r="F185" s="4" t="s">
        <v>1080</v>
      </c>
      <c r="G185" s="4" t="s">
        <v>1081</v>
      </c>
      <c r="H185" s="4" t="s">
        <v>102</v>
      </c>
      <c r="I185" s="4" t="s">
        <v>103</v>
      </c>
      <c r="J185" s="4" t="s">
        <v>150</v>
      </c>
      <c r="K185" s="4" t="s">
        <v>105</v>
      </c>
      <c r="L185" s="4" t="s">
        <v>106</v>
      </c>
      <c r="M185" s="8">
        <v>1.1000000000000001</v>
      </c>
      <c r="N185" s="8">
        <v>6</v>
      </c>
      <c r="O185" s="8">
        <v>88</v>
      </c>
      <c r="P185" s="8"/>
      <c r="Q185" s="8"/>
      <c r="R185" s="8"/>
      <c r="S185" s="4" t="s">
        <v>1053</v>
      </c>
      <c r="T185" s="4" t="s">
        <v>1082</v>
      </c>
      <c r="U185" s="4" t="s">
        <v>109</v>
      </c>
      <c r="V185" s="4" t="s">
        <v>109</v>
      </c>
      <c r="W185" s="4" t="s">
        <v>110</v>
      </c>
      <c r="X185" s="8"/>
      <c r="Y185" s="4" t="s">
        <v>377</v>
      </c>
      <c r="Z185" s="4" t="s">
        <v>112</v>
      </c>
      <c r="AA185" s="4" t="s">
        <v>1083</v>
      </c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71.25">
      <c r="A186" s="4" t="s">
        <v>1084</v>
      </c>
      <c r="B186" s="4" t="s">
        <v>650</v>
      </c>
      <c r="C186" s="4" t="s">
        <v>370</v>
      </c>
      <c r="D186" s="4" t="s">
        <v>371</v>
      </c>
      <c r="E186" s="4" t="s">
        <v>372</v>
      </c>
      <c r="F186" s="4" t="s">
        <v>1085</v>
      </c>
      <c r="G186" s="4" t="s">
        <v>1086</v>
      </c>
      <c r="H186" s="4" t="s">
        <v>102</v>
      </c>
      <c r="I186" s="4" t="s">
        <v>103</v>
      </c>
      <c r="J186" s="4" t="s">
        <v>150</v>
      </c>
      <c r="K186" s="4" t="s">
        <v>105</v>
      </c>
      <c r="L186" s="4" t="s">
        <v>106</v>
      </c>
      <c r="M186" s="8">
        <v>1.5</v>
      </c>
      <c r="N186" s="8">
        <v>6</v>
      </c>
      <c r="O186" s="8">
        <v>128</v>
      </c>
      <c r="P186" s="8"/>
      <c r="Q186" s="8"/>
      <c r="R186" s="8"/>
      <c r="S186" s="4" t="s">
        <v>1065</v>
      </c>
      <c r="T186" s="4" t="s">
        <v>1087</v>
      </c>
      <c r="U186" s="4" t="s">
        <v>109</v>
      </c>
      <c r="V186" s="4" t="s">
        <v>109</v>
      </c>
      <c r="W186" s="4" t="s">
        <v>110</v>
      </c>
      <c r="X186" s="8"/>
      <c r="Y186" s="4" t="s">
        <v>377</v>
      </c>
      <c r="Z186" s="4" t="s">
        <v>112</v>
      </c>
      <c r="AA186" s="4" t="s">
        <v>1088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71.25">
      <c r="A187" s="4" t="s">
        <v>1089</v>
      </c>
      <c r="B187" s="4" t="s">
        <v>650</v>
      </c>
      <c r="C187" s="4" t="s">
        <v>370</v>
      </c>
      <c r="D187" s="4" t="s">
        <v>371</v>
      </c>
      <c r="E187" s="4" t="s">
        <v>372</v>
      </c>
      <c r="F187" s="4" t="s">
        <v>1090</v>
      </c>
      <c r="G187" s="4" t="s">
        <v>1091</v>
      </c>
      <c r="H187" s="4" t="s">
        <v>102</v>
      </c>
      <c r="I187" s="4" t="s">
        <v>103</v>
      </c>
      <c r="J187" s="4" t="s">
        <v>150</v>
      </c>
      <c r="K187" s="4" t="s">
        <v>105</v>
      </c>
      <c r="L187" s="4" t="s">
        <v>106</v>
      </c>
      <c r="M187" s="8">
        <v>2.2000000000000002</v>
      </c>
      <c r="N187" s="8">
        <v>6</v>
      </c>
      <c r="O187" s="8">
        <v>168</v>
      </c>
      <c r="P187" s="8"/>
      <c r="Q187" s="8"/>
      <c r="R187" s="8"/>
      <c r="S187" s="4" t="s">
        <v>1071</v>
      </c>
      <c r="T187" s="4" t="s">
        <v>1092</v>
      </c>
      <c r="U187" s="4" t="s">
        <v>109</v>
      </c>
      <c r="V187" s="4" t="s">
        <v>109</v>
      </c>
      <c r="W187" s="4" t="s">
        <v>110</v>
      </c>
      <c r="X187" s="8"/>
      <c r="Y187" s="4" t="s">
        <v>377</v>
      </c>
      <c r="Z187" s="4" t="s">
        <v>112</v>
      </c>
      <c r="AA187" s="4" t="s">
        <v>1093</v>
      </c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71.25">
      <c r="A188" s="4" t="s">
        <v>1094</v>
      </c>
      <c r="B188" s="4" t="s">
        <v>650</v>
      </c>
      <c r="C188" s="4" t="s">
        <v>370</v>
      </c>
      <c r="D188" s="4" t="s">
        <v>371</v>
      </c>
      <c r="E188" s="4" t="s">
        <v>372</v>
      </c>
      <c r="F188" s="4" t="s">
        <v>1095</v>
      </c>
      <c r="G188" s="4" t="s">
        <v>1096</v>
      </c>
      <c r="H188" s="4" t="s">
        <v>102</v>
      </c>
      <c r="I188" s="4" t="s">
        <v>103</v>
      </c>
      <c r="J188" s="4" t="s">
        <v>150</v>
      </c>
      <c r="K188" s="4" t="s">
        <v>105</v>
      </c>
      <c r="L188" s="4" t="s">
        <v>106</v>
      </c>
      <c r="M188" s="8">
        <v>1.1000000000000001</v>
      </c>
      <c r="N188" s="8">
        <v>8.5</v>
      </c>
      <c r="O188" s="8">
        <v>72</v>
      </c>
      <c r="P188" s="8"/>
      <c r="Q188" s="8"/>
      <c r="R188" s="8"/>
      <c r="S188" s="4" t="s">
        <v>1047</v>
      </c>
      <c r="T188" s="4" t="s">
        <v>1097</v>
      </c>
      <c r="U188" s="4" t="s">
        <v>109</v>
      </c>
      <c r="V188" s="4" t="s">
        <v>109</v>
      </c>
      <c r="W188" s="4" t="s">
        <v>110</v>
      </c>
      <c r="X188" s="8"/>
      <c r="Y188" s="4" t="s">
        <v>377</v>
      </c>
      <c r="Z188" s="4" t="s">
        <v>112</v>
      </c>
      <c r="AA188" s="4" t="s">
        <v>1078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71.25">
      <c r="A189" s="4" t="s">
        <v>1098</v>
      </c>
      <c r="B189" s="4" t="s">
        <v>650</v>
      </c>
      <c r="C189" s="4" t="s">
        <v>370</v>
      </c>
      <c r="D189" s="4" t="s">
        <v>371</v>
      </c>
      <c r="E189" s="4" t="s">
        <v>372</v>
      </c>
      <c r="F189" s="4" t="s">
        <v>1099</v>
      </c>
      <c r="G189" s="4" t="s">
        <v>1100</v>
      </c>
      <c r="H189" s="4" t="s">
        <v>102</v>
      </c>
      <c r="I189" s="4" t="s">
        <v>103</v>
      </c>
      <c r="J189" s="4" t="s">
        <v>150</v>
      </c>
      <c r="K189" s="4" t="s">
        <v>105</v>
      </c>
      <c r="L189" s="4" t="s">
        <v>106</v>
      </c>
      <c r="M189" s="8">
        <v>1.1000000000000001</v>
      </c>
      <c r="N189" s="8">
        <v>8.5</v>
      </c>
      <c r="O189" s="8">
        <v>72</v>
      </c>
      <c r="P189" s="8"/>
      <c r="Q189" s="8"/>
      <c r="R189" s="8"/>
      <c r="S189" s="4" t="s">
        <v>1053</v>
      </c>
      <c r="T189" s="4" t="s">
        <v>1101</v>
      </c>
      <c r="U189" s="4" t="s">
        <v>109</v>
      </c>
      <c r="V189" s="4" t="s">
        <v>109</v>
      </c>
      <c r="W189" s="4" t="s">
        <v>110</v>
      </c>
      <c r="X189" s="8"/>
      <c r="Y189" s="4" t="s">
        <v>377</v>
      </c>
      <c r="Z189" s="4" t="s">
        <v>112</v>
      </c>
      <c r="AA189" s="4" t="s">
        <v>1083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71.25">
      <c r="A190" s="4" t="s">
        <v>1102</v>
      </c>
      <c r="B190" s="4" t="s">
        <v>650</v>
      </c>
      <c r="C190" s="4" t="s">
        <v>370</v>
      </c>
      <c r="D190" s="4" t="s">
        <v>371</v>
      </c>
      <c r="E190" s="4" t="s">
        <v>372</v>
      </c>
      <c r="F190" s="4" t="s">
        <v>1103</v>
      </c>
      <c r="G190" s="4" t="s">
        <v>1104</v>
      </c>
      <c r="H190" s="4" t="s">
        <v>102</v>
      </c>
      <c r="I190" s="4" t="s">
        <v>103</v>
      </c>
      <c r="J190" s="4" t="s">
        <v>150</v>
      </c>
      <c r="K190" s="4" t="s">
        <v>105</v>
      </c>
      <c r="L190" s="4" t="s">
        <v>106</v>
      </c>
      <c r="M190" s="8">
        <v>1.5</v>
      </c>
      <c r="N190" s="8">
        <v>8.5</v>
      </c>
      <c r="O190" s="8">
        <v>96</v>
      </c>
      <c r="P190" s="8"/>
      <c r="Q190" s="8"/>
      <c r="R190" s="8"/>
      <c r="S190" s="4" t="s">
        <v>1065</v>
      </c>
      <c r="T190" s="4" t="s">
        <v>1105</v>
      </c>
      <c r="U190" s="4" t="s">
        <v>109</v>
      </c>
      <c r="V190" s="4" t="s">
        <v>109</v>
      </c>
      <c r="W190" s="4" t="s">
        <v>110</v>
      </c>
      <c r="X190" s="8"/>
      <c r="Y190" s="4" t="s">
        <v>377</v>
      </c>
      <c r="Z190" s="4" t="s">
        <v>112</v>
      </c>
      <c r="AA190" s="4" t="s">
        <v>1088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71.25">
      <c r="A191" s="4" t="s">
        <v>1106</v>
      </c>
      <c r="B191" s="4" t="s">
        <v>650</v>
      </c>
      <c r="C191" s="4" t="s">
        <v>370</v>
      </c>
      <c r="D191" s="4" t="s">
        <v>371</v>
      </c>
      <c r="E191" s="4" t="s">
        <v>372</v>
      </c>
      <c r="F191" s="4" t="s">
        <v>1107</v>
      </c>
      <c r="G191" s="4" t="s">
        <v>1108</v>
      </c>
      <c r="H191" s="4" t="s">
        <v>102</v>
      </c>
      <c r="I191" s="4" t="s">
        <v>103</v>
      </c>
      <c r="J191" s="4" t="s">
        <v>150</v>
      </c>
      <c r="K191" s="4" t="s">
        <v>105</v>
      </c>
      <c r="L191" s="4" t="s">
        <v>106</v>
      </c>
      <c r="M191" s="8">
        <v>2.2000000000000002</v>
      </c>
      <c r="N191" s="8">
        <v>8</v>
      </c>
      <c r="O191" s="8">
        <v>128</v>
      </c>
      <c r="P191" s="8"/>
      <c r="Q191" s="8"/>
      <c r="R191" s="8"/>
      <c r="S191" s="4" t="s">
        <v>1071</v>
      </c>
      <c r="T191" s="4" t="s">
        <v>1109</v>
      </c>
      <c r="U191" s="4" t="s">
        <v>109</v>
      </c>
      <c r="V191" s="4" t="s">
        <v>109</v>
      </c>
      <c r="W191" s="4" t="s">
        <v>110</v>
      </c>
      <c r="X191" s="8"/>
      <c r="Y191" s="4" t="s">
        <v>377</v>
      </c>
      <c r="Z191" s="4" t="s">
        <v>112</v>
      </c>
      <c r="AA191" s="4" t="s">
        <v>1093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56.75">
      <c r="A192" s="4" t="s">
        <v>1110</v>
      </c>
      <c r="B192" s="4" t="s">
        <v>650</v>
      </c>
      <c r="C192" s="4" t="s">
        <v>436</v>
      </c>
      <c r="D192" s="4" t="s">
        <v>437</v>
      </c>
      <c r="E192" s="4" t="s">
        <v>438</v>
      </c>
      <c r="F192" s="4" t="s">
        <v>1111</v>
      </c>
      <c r="G192" s="4" t="s">
        <v>1112</v>
      </c>
      <c r="H192" s="4" t="s">
        <v>102</v>
      </c>
      <c r="I192" s="4" t="s">
        <v>103</v>
      </c>
      <c r="J192" s="4"/>
      <c r="K192" s="4" t="s">
        <v>105</v>
      </c>
      <c r="L192" s="4" t="s">
        <v>106</v>
      </c>
      <c r="M192" s="8">
        <v>1.1000000000000001</v>
      </c>
      <c r="N192" s="8">
        <v>2.2000000000000002</v>
      </c>
      <c r="O192" s="8">
        <v>180</v>
      </c>
      <c r="P192" s="8"/>
      <c r="Q192" s="8"/>
      <c r="R192" s="8"/>
      <c r="S192" s="4" t="s">
        <v>1113</v>
      </c>
      <c r="T192" s="4" t="s">
        <v>1114</v>
      </c>
      <c r="U192" s="4" t="s">
        <v>109</v>
      </c>
      <c r="V192" s="4" t="s">
        <v>109</v>
      </c>
      <c r="W192" s="4" t="s">
        <v>110</v>
      </c>
      <c r="X192" s="8"/>
      <c r="Y192" s="4" t="s">
        <v>443</v>
      </c>
      <c r="Z192" s="4" t="s">
        <v>112</v>
      </c>
      <c r="AA192" s="4" t="s">
        <v>1115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56.75">
      <c r="A193" s="4" t="s">
        <v>1116</v>
      </c>
      <c r="B193" s="4" t="s">
        <v>650</v>
      </c>
      <c r="C193" s="4" t="s">
        <v>436</v>
      </c>
      <c r="D193" s="4" t="s">
        <v>437</v>
      </c>
      <c r="E193" s="4" t="s">
        <v>438</v>
      </c>
      <c r="F193" s="4" t="s">
        <v>1111</v>
      </c>
      <c r="G193" s="4" t="s">
        <v>1117</v>
      </c>
      <c r="H193" s="4" t="s">
        <v>102</v>
      </c>
      <c r="I193" s="4" t="s">
        <v>103</v>
      </c>
      <c r="J193" s="4"/>
      <c r="K193" s="4" t="s">
        <v>105</v>
      </c>
      <c r="L193" s="4" t="s">
        <v>106</v>
      </c>
      <c r="M193" s="8">
        <v>1.1000000000000001</v>
      </c>
      <c r="N193" s="8">
        <v>2.2000000000000002</v>
      </c>
      <c r="O193" s="8">
        <v>180</v>
      </c>
      <c r="P193" s="8"/>
      <c r="Q193" s="8"/>
      <c r="R193" s="8"/>
      <c r="S193" s="4" t="s">
        <v>1118</v>
      </c>
      <c r="T193" s="4" t="s">
        <v>1114</v>
      </c>
      <c r="U193" s="4" t="s">
        <v>109</v>
      </c>
      <c r="V193" s="4" t="s">
        <v>109</v>
      </c>
      <c r="W193" s="4" t="s">
        <v>110</v>
      </c>
      <c r="X193" s="8"/>
      <c r="Y193" s="4" t="s">
        <v>443</v>
      </c>
      <c r="Z193" s="4" t="s">
        <v>112</v>
      </c>
      <c r="AA193" s="4" t="s">
        <v>1119</v>
      </c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56.75">
      <c r="A194" s="4" t="s">
        <v>1120</v>
      </c>
      <c r="B194" s="4" t="s">
        <v>650</v>
      </c>
      <c r="C194" s="4" t="s">
        <v>436</v>
      </c>
      <c r="D194" s="4" t="s">
        <v>437</v>
      </c>
      <c r="E194" s="4" t="s">
        <v>465</v>
      </c>
      <c r="F194" s="4" t="s">
        <v>1121</v>
      </c>
      <c r="G194" s="4" t="s">
        <v>1122</v>
      </c>
      <c r="H194" s="4" t="s">
        <v>102</v>
      </c>
      <c r="I194" s="4" t="s">
        <v>103</v>
      </c>
      <c r="J194" s="4"/>
      <c r="K194" s="4" t="s">
        <v>105</v>
      </c>
      <c r="L194" s="4" t="s">
        <v>106</v>
      </c>
      <c r="M194" s="8">
        <v>1.1000000000000001</v>
      </c>
      <c r="N194" s="8">
        <v>2</v>
      </c>
      <c r="O194" s="8">
        <v>110</v>
      </c>
      <c r="P194" s="8"/>
      <c r="Q194" s="8"/>
      <c r="R194" s="8"/>
      <c r="S194" s="4" t="s">
        <v>1113</v>
      </c>
      <c r="T194" s="4" t="s">
        <v>1123</v>
      </c>
      <c r="U194" s="4" t="s">
        <v>109</v>
      </c>
      <c r="V194" s="4" t="s">
        <v>109</v>
      </c>
      <c r="W194" s="4" t="s">
        <v>110</v>
      </c>
      <c r="X194" s="8"/>
      <c r="Y194" s="4" t="s">
        <v>443</v>
      </c>
      <c r="Z194" s="4" t="s">
        <v>112</v>
      </c>
      <c r="AA194" s="4" t="s">
        <v>1124</v>
      </c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56.75">
      <c r="A195" s="4" t="s">
        <v>1125</v>
      </c>
      <c r="B195" s="4" t="s">
        <v>650</v>
      </c>
      <c r="C195" s="4" t="s">
        <v>436</v>
      </c>
      <c r="D195" s="4" t="s">
        <v>437</v>
      </c>
      <c r="E195" s="4" t="s">
        <v>465</v>
      </c>
      <c r="F195" s="4" t="s">
        <v>1121</v>
      </c>
      <c r="G195" s="4" t="s">
        <v>1126</v>
      </c>
      <c r="H195" s="4" t="s">
        <v>102</v>
      </c>
      <c r="I195" s="4" t="s">
        <v>103</v>
      </c>
      <c r="J195" s="4"/>
      <c r="K195" s="4" t="s">
        <v>105</v>
      </c>
      <c r="L195" s="4" t="s">
        <v>106</v>
      </c>
      <c r="M195" s="8">
        <v>1.1000000000000001</v>
      </c>
      <c r="N195" s="8">
        <v>2</v>
      </c>
      <c r="O195" s="8">
        <v>110</v>
      </c>
      <c r="P195" s="8"/>
      <c r="Q195" s="8"/>
      <c r="R195" s="8"/>
      <c r="S195" s="4" t="s">
        <v>1118</v>
      </c>
      <c r="T195" s="4" t="s">
        <v>1123</v>
      </c>
      <c r="U195" s="4" t="s">
        <v>109</v>
      </c>
      <c r="V195" s="4" t="s">
        <v>109</v>
      </c>
      <c r="W195" s="4" t="s">
        <v>110</v>
      </c>
      <c r="X195" s="8"/>
      <c r="Y195" s="4" t="s">
        <v>443</v>
      </c>
      <c r="Z195" s="4" t="s">
        <v>112</v>
      </c>
      <c r="AA195" s="4" t="s">
        <v>1127</v>
      </c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56.75">
      <c r="A196" s="4" t="s">
        <v>1128</v>
      </c>
      <c r="B196" s="4" t="s">
        <v>650</v>
      </c>
      <c r="C196" s="4" t="s">
        <v>436</v>
      </c>
      <c r="D196" s="4" t="s">
        <v>437</v>
      </c>
      <c r="E196" s="4" t="s">
        <v>465</v>
      </c>
      <c r="F196" s="4" t="s">
        <v>1129</v>
      </c>
      <c r="G196" s="4" t="s">
        <v>1130</v>
      </c>
      <c r="H196" s="4" t="s">
        <v>102</v>
      </c>
      <c r="I196" s="4" t="s">
        <v>103</v>
      </c>
      <c r="J196" s="4"/>
      <c r="K196" s="4" t="s">
        <v>105</v>
      </c>
      <c r="L196" s="4" t="s">
        <v>106</v>
      </c>
      <c r="M196" s="8">
        <v>1.3</v>
      </c>
      <c r="N196" s="8">
        <v>2.2000000000000002</v>
      </c>
      <c r="O196" s="8">
        <v>150</v>
      </c>
      <c r="P196" s="8"/>
      <c r="Q196" s="8"/>
      <c r="R196" s="8"/>
      <c r="S196" s="4" t="s">
        <v>1113</v>
      </c>
      <c r="T196" s="4" t="s">
        <v>1131</v>
      </c>
      <c r="U196" s="4" t="s">
        <v>109</v>
      </c>
      <c r="V196" s="4" t="s">
        <v>109</v>
      </c>
      <c r="W196" s="4" t="s">
        <v>110</v>
      </c>
      <c r="X196" s="8"/>
      <c r="Y196" s="4" t="s">
        <v>443</v>
      </c>
      <c r="Z196" s="4" t="s">
        <v>112</v>
      </c>
      <c r="AA196" s="4" t="s">
        <v>1132</v>
      </c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56.75">
      <c r="A197" s="4" t="s">
        <v>1133</v>
      </c>
      <c r="B197" s="4" t="s">
        <v>650</v>
      </c>
      <c r="C197" s="4" t="s">
        <v>436</v>
      </c>
      <c r="D197" s="4" t="s">
        <v>437</v>
      </c>
      <c r="E197" s="4" t="s">
        <v>482</v>
      </c>
      <c r="F197" s="4" t="s">
        <v>1134</v>
      </c>
      <c r="G197" s="4" t="s">
        <v>1135</v>
      </c>
      <c r="H197" s="4" t="s">
        <v>102</v>
      </c>
      <c r="I197" s="4" t="s">
        <v>103</v>
      </c>
      <c r="J197" s="4"/>
      <c r="K197" s="4" t="s">
        <v>105</v>
      </c>
      <c r="L197" s="4" t="s">
        <v>106</v>
      </c>
      <c r="M197" s="8">
        <v>1.1000000000000001</v>
      </c>
      <c r="N197" s="8">
        <v>2.2000000000000002</v>
      </c>
      <c r="O197" s="8">
        <v>180</v>
      </c>
      <c r="P197" s="8"/>
      <c r="Q197" s="8"/>
      <c r="R197" s="8"/>
      <c r="S197" s="4" t="s">
        <v>1113</v>
      </c>
      <c r="T197" s="4" t="s">
        <v>1136</v>
      </c>
      <c r="U197" s="4" t="s">
        <v>109</v>
      </c>
      <c r="V197" s="4" t="s">
        <v>109</v>
      </c>
      <c r="W197" s="4" t="s">
        <v>110</v>
      </c>
      <c r="X197" s="8"/>
      <c r="Y197" s="4" t="s">
        <v>443</v>
      </c>
      <c r="Z197" s="4" t="s">
        <v>112</v>
      </c>
      <c r="AA197" s="4" t="s">
        <v>1115</v>
      </c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56.75">
      <c r="A198" s="4" t="s">
        <v>1137</v>
      </c>
      <c r="B198" s="4" t="s">
        <v>650</v>
      </c>
      <c r="C198" s="4" t="s">
        <v>436</v>
      </c>
      <c r="D198" s="4" t="s">
        <v>437</v>
      </c>
      <c r="E198" s="4" t="s">
        <v>482</v>
      </c>
      <c r="F198" s="4" t="s">
        <v>1134</v>
      </c>
      <c r="G198" s="4" t="s">
        <v>1138</v>
      </c>
      <c r="H198" s="4" t="s">
        <v>102</v>
      </c>
      <c r="I198" s="4" t="s">
        <v>103</v>
      </c>
      <c r="J198" s="4"/>
      <c r="K198" s="4" t="s">
        <v>105</v>
      </c>
      <c r="L198" s="4" t="s">
        <v>106</v>
      </c>
      <c r="M198" s="8">
        <v>1.1000000000000001</v>
      </c>
      <c r="N198" s="8">
        <v>2.2000000000000002</v>
      </c>
      <c r="O198" s="8">
        <v>180</v>
      </c>
      <c r="P198" s="8"/>
      <c r="Q198" s="8"/>
      <c r="R198" s="8"/>
      <c r="S198" s="4" t="s">
        <v>1118</v>
      </c>
      <c r="T198" s="4" t="s">
        <v>1136</v>
      </c>
      <c r="U198" s="4" t="s">
        <v>109</v>
      </c>
      <c r="V198" s="4" t="s">
        <v>109</v>
      </c>
      <c r="W198" s="4" t="s">
        <v>110</v>
      </c>
      <c r="X198" s="8"/>
      <c r="Y198" s="4" t="s">
        <v>443</v>
      </c>
      <c r="Z198" s="4" t="s">
        <v>112</v>
      </c>
      <c r="AA198" s="4" t="s">
        <v>1119</v>
      </c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71.25">
      <c r="A199" s="4" t="s">
        <v>1139</v>
      </c>
      <c r="B199" s="4" t="s">
        <v>650</v>
      </c>
      <c r="C199" s="4" t="s">
        <v>512</v>
      </c>
      <c r="D199" s="4" t="s">
        <v>513</v>
      </c>
      <c r="E199" s="4" t="s">
        <v>1140</v>
      </c>
      <c r="F199" s="4" t="s">
        <v>1141</v>
      </c>
      <c r="G199" s="4" t="s">
        <v>1142</v>
      </c>
      <c r="H199" s="4" t="s">
        <v>102</v>
      </c>
      <c r="I199" s="4" t="s">
        <v>103</v>
      </c>
      <c r="J199" s="4" t="s">
        <v>150</v>
      </c>
      <c r="K199" s="4" t="s">
        <v>292</v>
      </c>
      <c r="L199" s="4" t="s">
        <v>106</v>
      </c>
      <c r="M199" s="8">
        <v>2.5</v>
      </c>
      <c r="N199" s="8"/>
      <c r="O199" s="8"/>
      <c r="P199" s="8"/>
      <c r="Q199" s="8"/>
      <c r="R199" s="8"/>
      <c r="S199" s="4" t="s">
        <v>1143</v>
      </c>
      <c r="T199" s="4" t="s">
        <v>1144</v>
      </c>
      <c r="U199" s="4" t="s">
        <v>109</v>
      </c>
      <c r="V199" s="4" t="s">
        <v>109</v>
      </c>
      <c r="W199" s="4" t="s">
        <v>110</v>
      </c>
      <c r="X199" s="8"/>
      <c r="Y199" s="4" t="s">
        <v>519</v>
      </c>
      <c r="Z199" s="4" t="s">
        <v>112</v>
      </c>
      <c r="AA199" s="4" t="s">
        <v>1145</v>
      </c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71.25">
      <c r="A200" s="4" t="s">
        <v>1146</v>
      </c>
      <c r="B200" s="4" t="s">
        <v>650</v>
      </c>
      <c r="C200" s="4" t="s">
        <v>512</v>
      </c>
      <c r="D200" s="4" t="s">
        <v>513</v>
      </c>
      <c r="E200" s="4" t="s">
        <v>1140</v>
      </c>
      <c r="F200" s="4" t="s">
        <v>1147</v>
      </c>
      <c r="G200" s="4" t="s">
        <v>1148</v>
      </c>
      <c r="H200" s="4" t="s">
        <v>102</v>
      </c>
      <c r="I200" s="4" t="s">
        <v>103</v>
      </c>
      <c r="J200" s="4" t="s">
        <v>150</v>
      </c>
      <c r="K200" s="4" t="s">
        <v>292</v>
      </c>
      <c r="L200" s="4" t="s">
        <v>106</v>
      </c>
      <c r="M200" s="8">
        <v>2.5</v>
      </c>
      <c r="N200" s="8"/>
      <c r="O200" s="8"/>
      <c r="P200" s="8"/>
      <c r="Q200" s="8"/>
      <c r="R200" s="8"/>
      <c r="S200" s="4" t="s">
        <v>1143</v>
      </c>
      <c r="T200" s="4" t="s">
        <v>1149</v>
      </c>
      <c r="U200" s="4" t="s">
        <v>109</v>
      </c>
      <c r="V200" s="4" t="s">
        <v>109</v>
      </c>
      <c r="W200" s="4" t="s">
        <v>110</v>
      </c>
      <c r="X200" s="8"/>
      <c r="Y200" s="4" t="s">
        <v>519</v>
      </c>
      <c r="Z200" s="4" t="s">
        <v>112</v>
      </c>
      <c r="AA200" s="4" t="s">
        <v>1145</v>
      </c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 ht="71.25">
      <c r="A201" s="4" t="s">
        <v>1150</v>
      </c>
      <c r="B201" s="4" t="s">
        <v>650</v>
      </c>
      <c r="C201" s="4" t="s">
        <v>512</v>
      </c>
      <c r="D201" s="4" t="s">
        <v>513</v>
      </c>
      <c r="E201" s="4" t="s">
        <v>1140</v>
      </c>
      <c r="F201" s="4" t="s">
        <v>1151</v>
      </c>
      <c r="G201" s="4" t="s">
        <v>1152</v>
      </c>
      <c r="H201" s="4" t="s">
        <v>102</v>
      </c>
      <c r="I201" s="4" t="s">
        <v>103</v>
      </c>
      <c r="J201" s="4" t="s">
        <v>150</v>
      </c>
      <c r="K201" s="4" t="s">
        <v>292</v>
      </c>
      <c r="L201" s="4" t="s">
        <v>106</v>
      </c>
      <c r="M201" s="8">
        <v>2.5</v>
      </c>
      <c r="N201" s="8"/>
      <c r="O201" s="8"/>
      <c r="P201" s="8"/>
      <c r="Q201" s="8"/>
      <c r="R201" s="8"/>
      <c r="S201" s="4" t="s">
        <v>1143</v>
      </c>
      <c r="T201" s="4" t="s">
        <v>1153</v>
      </c>
      <c r="U201" s="4" t="s">
        <v>109</v>
      </c>
      <c r="V201" s="4" t="s">
        <v>109</v>
      </c>
      <c r="W201" s="4" t="s">
        <v>110</v>
      </c>
      <c r="X201" s="8"/>
      <c r="Y201" s="4" t="s">
        <v>519</v>
      </c>
      <c r="Z201" s="4" t="s">
        <v>112</v>
      </c>
      <c r="AA201" s="4" t="s">
        <v>1145</v>
      </c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 ht="99.75">
      <c r="A202" s="5" t="s">
        <v>1154</v>
      </c>
      <c r="B202" s="5" t="s">
        <v>1155</v>
      </c>
      <c r="C202" s="5" t="s">
        <v>1156</v>
      </c>
      <c r="D202" s="5" t="s">
        <v>1157</v>
      </c>
      <c r="E202" s="5" t="s">
        <v>1158</v>
      </c>
      <c r="F202" s="5" t="s">
        <v>1159</v>
      </c>
      <c r="G202" s="5" t="s">
        <v>1160</v>
      </c>
      <c r="H202" s="5" t="s">
        <v>1161</v>
      </c>
      <c r="I202" s="5" t="s">
        <v>1162</v>
      </c>
      <c r="J202" s="5" t="s">
        <v>150</v>
      </c>
      <c r="K202" s="5" t="s">
        <v>1163</v>
      </c>
      <c r="L202" s="5" t="s">
        <v>1164</v>
      </c>
      <c r="M202" s="9">
        <v>11</v>
      </c>
      <c r="N202" s="9"/>
      <c r="O202" s="9"/>
      <c r="P202" s="9">
        <v>100</v>
      </c>
      <c r="Q202" s="9">
        <v>27</v>
      </c>
      <c r="R202" s="9"/>
      <c r="S202" s="5"/>
      <c r="T202" s="5" t="s">
        <v>1165</v>
      </c>
      <c r="U202" s="5"/>
      <c r="V202" s="5"/>
      <c r="W202" s="5"/>
      <c r="X202" s="9"/>
      <c r="Y202" s="5" t="s">
        <v>1166</v>
      </c>
      <c r="Z202" s="5" t="s">
        <v>112</v>
      </c>
      <c r="AA202" s="5" t="s">
        <v>1167</v>
      </c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 ht="99.75">
      <c r="A203" s="5" t="s">
        <v>1168</v>
      </c>
      <c r="B203" s="5" t="s">
        <v>1155</v>
      </c>
      <c r="C203" s="5" t="s">
        <v>1156</v>
      </c>
      <c r="D203" s="5" t="s">
        <v>1157</v>
      </c>
      <c r="E203" s="5" t="s">
        <v>1158</v>
      </c>
      <c r="F203" s="5" t="s">
        <v>1169</v>
      </c>
      <c r="G203" s="5" t="s">
        <v>1170</v>
      </c>
      <c r="H203" s="5" t="s">
        <v>1161</v>
      </c>
      <c r="I203" s="5" t="s">
        <v>1162</v>
      </c>
      <c r="J203" s="5" t="s">
        <v>150</v>
      </c>
      <c r="K203" s="5" t="s">
        <v>1163</v>
      </c>
      <c r="L203" s="5" t="s">
        <v>1164</v>
      </c>
      <c r="M203" s="9">
        <v>15</v>
      </c>
      <c r="N203" s="9"/>
      <c r="O203" s="9"/>
      <c r="P203" s="9">
        <v>100</v>
      </c>
      <c r="Q203" s="9">
        <v>33</v>
      </c>
      <c r="R203" s="9"/>
      <c r="S203" s="5"/>
      <c r="T203" s="5" t="s">
        <v>1171</v>
      </c>
      <c r="U203" s="5"/>
      <c r="V203" s="5"/>
      <c r="W203" s="5"/>
      <c r="X203" s="9"/>
      <c r="Y203" s="5" t="s">
        <v>1166</v>
      </c>
      <c r="Z203" s="5" t="s">
        <v>112</v>
      </c>
      <c r="AA203" s="5" t="s">
        <v>1172</v>
      </c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 ht="99.75">
      <c r="A204" s="5" t="s">
        <v>1173</v>
      </c>
      <c r="B204" s="5" t="s">
        <v>1155</v>
      </c>
      <c r="C204" s="5" t="s">
        <v>1156</v>
      </c>
      <c r="D204" s="5" t="s">
        <v>1157</v>
      </c>
      <c r="E204" s="5" t="s">
        <v>1158</v>
      </c>
      <c r="F204" s="5" t="s">
        <v>1174</v>
      </c>
      <c r="G204" s="5" t="s">
        <v>1175</v>
      </c>
      <c r="H204" s="5" t="s">
        <v>1161</v>
      </c>
      <c r="I204" s="5" t="s">
        <v>1162</v>
      </c>
      <c r="J204" s="5" t="s">
        <v>150</v>
      </c>
      <c r="K204" s="5" t="s">
        <v>1163</v>
      </c>
      <c r="L204" s="5" t="s">
        <v>1164</v>
      </c>
      <c r="M204" s="9">
        <v>18.5</v>
      </c>
      <c r="N204" s="9"/>
      <c r="O204" s="9"/>
      <c r="P204" s="9">
        <v>100</v>
      </c>
      <c r="Q204" s="9">
        <v>40</v>
      </c>
      <c r="R204" s="9"/>
      <c r="S204" s="5"/>
      <c r="T204" s="5" t="s">
        <v>1176</v>
      </c>
      <c r="U204" s="5"/>
      <c r="V204" s="5"/>
      <c r="W204" s="5"/>
      <c r="X204" s="9"/>
      <c r="Y204" s="5" t="s">
        <v>1166</v>
      </c>
      <c r="Z204" s="5" t="s">
        <v>112</v>
      </c>
      <c r="AA204" s="5" t="s">
        <v>1177</v>
      </c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 ht="99.75">
      <c r="A205" s="5" t="s">
        <v>1178</v>
      </c>
      <c r="B205" s="5" t="s">
        <v>1155</v>
      </c>
      <c r="C205" s="5" t="s">
        <v>1156</v>
      </c>
      <c r="D205" s="5" t="s">
        <v>1157</v>
      </c>
      <c r="E205" s="5" t="s">
        <v>1158</v>
      </c>
      <c r="F205" s="5" t="s">
        <v>1179</v>
      </c>
      <c r="G205" s="5" t="s">
        <v>1180</v>
      </c>
      <c r="H205" s="5" t="s">
        <v>1161</v>
      </c>
      <c r="I205" s="5" t="s">
        <v>1162</v>
      </c>
      <c r="J205" s="5" t="s">
        <v>150</v>
      </c>
      <c r="K205" s="5" t="s">
        <v>1163</v>
      </c>
      <c r="L205" s="5" t="s">
        <v>1164</v>
      </c>
      <c r="M205" s="9">
        <v>22</v>
      </c>
      <c r="N205" s="9"/>
      <c r="O205" s="9"/>
      <c r="P205" s="9">
        <v>100</v>
      </c>
      <c r="Q205" s="9">
        <v>48</v>
      </c>
      <c r="R205" s="9"/>
      <c r="S205" s="5"/>
      <c r="T205" s="5" t="s">
        <v>1181</v>
      </c>
      <c r="U205" s="5"/>
      <c r="V205" s="5"/>
      <c r="W205" s="5"/>
      <c r="X205" s="9"/>
      <c r="Y205" s="5" t="s">
        <v>1166</v>
      </c>
      <c r="Z205" s="5" t="s">
        <v>112</v>
      </c>
      <c r="AA205" s="5" t="s">
        <v>1182</v>
      </c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 ht="99.75">
      <c r="A206" s="5" t="s">
        <v>1183</v>
      </c>
      <c r="B206" s="5" t="s">
        <v>1155</v>
      </c>
      <c r="C206" s="5" t="s">
        <v>1156</v>
      </c>
      <c r="D206" s="5" t="s">
        <v>1157</v>
      </c>
      <c r="E206" s="5" t="s">
        <v>1158</v>
      </c>
      <c r="F206" s="5" t="s">
        <v>1184</v>
      </c>
      <c r="G206" s="5" t="s">
        <v>1185</v>
      </c>
      <c r="H206" s="5" t="s">
        <v>1161</v>
      </c>
      <c r="I206" s="5" t="s">
        <v>1162</v>
      </c>
      <c r="J206" s="5" t="s">
        <v>150</v>
      </c>
      <c r="K206" s="5" t="s">
        <v>1163</v>
      </c>
      <c r="L206" s="5" t="s">
        <v>1164</v>
      </c>
      <c r="M206" s="9">
        <v>30</v>
      </c>
      <c r="N206" s="9"/>
      <c r="O206" s="9"/>
      <c r="P206" s="9">
        <v>130</v>
      </c>
      <c r="Q206" s="9">
        <v>52</v>
      </c>
      <c r="R206" s="9"/>
      <c r="S206" s="5"/>
      <c r="T206" s="5" t="s">
        <v>1186</v>
      </c>
      <c r="U206" s="5"/>
      <c r="V206" s="5"/>
      <c r="W206" s="5"/>
      <c r="X206" s="9"/>
      <c r="Y206" s="5" t="s">
        <v>1166</v>
      </c>
      <c r="Z206" s="5" t="s">
        <v>112</v>
      </c>
      <c r="AA206" s="5" t="s">
        <v>1187</v>
      </c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 ht="99.75">
      <c r="A207" s="5" t="s">
        <v>1188</v>
      </c>
      <c r="B207" s="5" t="s">
        <v>1155</v>
      </c>
      <c r="C207" s="5" t="s">
        <v>1156</v>
      </c>
      <c r="D207" s="5" t="s">
        <v>1157</v>
      </c>
      <c r="E207" s="5" t="s">
        <v>1158</v>
      </c>
      <c r="F207" s="5" t="s">
        <v>1189</v>
      </c>
      <c r="G207" s="5" t="s">
        <v>1190</v>
      </c>
      <c r="H207" s="5" t="s">
        <v>1161</v>
      </c>
      <c r="I207" s="5" t="s">
        <v>1162</v>
      </c>
      <c r="J207" s="5" t="s">
        <v>150</v>
      </c>
      <c r="K207" s="5" t="s">
        <v>1163</v>
      </c>
      <c r="L207" s="5" t="s">
        <v>1164</v>
      </c>
      <c r="M207" s="9">
        <v>11</v>
      </c>
      <c r="N207" s="9"/>
      <c r="O207" s="9"/>
      <c r="P207" s="9">
        <v>120</v>
      </c>
      <c r="Q207" s="9">
        <v>20</v>
      </c>
      <c r="R207" s="9"/>
      <c r="S207" s="5"/>
      <c r="T207" s="5" t="s">
        <v>1191</v>
      </c>
      <c r="U207" s="5"/>
      <c r="V207" s="5"/>
      <c r="W207" s="5"/>
      <c r="X207" s="9"/>
      <c r="Y207" s="5" t="s">
        <v>1166</v>
      </c>
      <c r="Z207" s="5" t="s">
        <v>112</v>
      </c>
      <c r="AA207" s="5" t="s">
        <v>1192</v>
      </c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 ht="99.75">
      <c r="A208" s="5" t="s">
        <v>1193</v>
      </c>
      <c r="B208" s="5" t="s">
        <v>1155</v>
      </c>
      <c r="C208" s="5" t="s">
        <v>1156</v>
      </c>
      <c r="D208" s="5" t="s">
        <v>1157</v>
      </c>
      <c r="E208" s="5" t="s">
        <v>1158</v>
      </c>
      <c r="F208" s="5" t="s">
        <v>1194</v>
      </c>
      <c r="G208" s="5" t="s">
        <v>1195</v>
      </c>
      <c r="H208" s="5" t="s">
        <v>1161</v>
      </c>
      <c r="I208" s="5" t="s">
        <v>1162</v>
      </c>
      <c r="J208" s="5" t="s">
        <v>150</v>
      </c>
      <c r="K208" s="5" t="s">
        <v>1163</v>
      </c>
      <c r="L208" s="5" t="s">
        <v>1164</v>
      </c>
      <c r="M208" s="9">
        <v>15</v>
      </c>
      <c r="N208" s="9"/>
      <c r="O208" s="9"/>
      <c r="P208" s="9">
        <v>160</v>
      </c>
      <c r="Q208" s="9">
        <v>22</v>
      </c>
      <c r="R208" s="9"/>
      <c r="S208" s="5"/>
      <c r="T208" s="5" t="s">
        <v>1196</v>
      </c>
      <c r="U208" s="5"/>
      <c r="V208" s="5"/>
      <c r="W208" s="5"/>
      <c r="X208" s="9"/>
      <c r="Y208" s="5" t="s">
        <v>1166</v>
      </c>
      <c r="Z208" s="5" t="s">
        <v>112</v>
      </c>
      <c r="AA208" s="5" t="s">
        <v>1197</v>
      </c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 ht="99.75">
      <c r="A209" s="5" t="s">
        <v>1198</v>
      </c>
      <c r="B209" s="5" t="s">
        <v>1155</v>
      </c>
      <c r="C209" s="5" t="s">
        <v>1156</v>
      </c>
      <c r="D209" s="5" t="s">
        <v>1157</v>
      </c>
      <c r="E209" s="5" t="s">
        <v>1158</v>
      </c>
      <c r="F209" s="5" t="s">
        <v>1199</v>
      </c>
      <c r="G209" s="5" t="s">
        <v>1200</v>
      </c>
      <c r="H209" s="5" t="s">
        <v>1161</v>
      </c>
      <c r="I209" s="5" t="s">
        <v>1162</v>
      </c>
      <c r="J209" s="5" t="s">
        <v>150</v>
      </c>
      <c r="K209" s="5" t="s">
        <v>1163</v>
      </c>
      <c r="L209" s="5" t="s">
        <v>1164</v>
      </c>
      <c r="M209" s="9">
        <v>18.5</v>
      </c>
      <c r="N209" s="9"/>
      <c r="O209" s="9"/>
      <c r="P209" s="9">
        <v>160</v>
      </c>
      <c r="Q209" s="9">
        <v>28</v>
      </c>
      <c r="R209" s="9"/>
      <c r="S209" s="5"/>
      <c r="T209" s="5" t="s">
        <v>1201</v>
      </c>
      <c r="U209" s="5"/>
      <c r="V209" s="5"/>
      <c r="W209" s="5"/>
      <c r="X209" s="9"/>
      <c r="Y209" s="5" t="s">
        <v>1166</v>
      </c>
      <c r="Z209" s="5" t="s">
        <v>112</v>
      </c>
      <c r="AA209" s="5" t="s">
        <v>1202</v>
      </c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 ht="99.75">
      <c r="A210" s="5" t="s">
        <v>1203</v>
      </c>
      <c r="B210" s="5" t="s">
        <v>1155</v>
      </c>
      <c r="C210" s="5" t="s">
        <v>1156</v>
      </c>
      <c r="D210" s="5" t="s">
        <v>1157</v>
      </c>
      <c r="E210" s="5" t="s">
        <v>1158</v>
      </c>
      <c r="F210" s="5" t="s">
        <v>1204</v>
      </c>
      <c r="G210" s="5" t="s">
        <v>1205</v>
      </c>
      <c r="H210" s="5" t="s">
        <v>1161</v>
      </c>
      <c r="I210" s="5" t="s">
        <v>1162</v>
      </c>
      <c r="J210" s="5" t="s">
        <v>150</v>
      </c>
      <c r="K210" s="5" t="s">
        <v>1163</v>
      </c>
      <c r="L210" s="5" t="s">
        <v>1164</v>
      </c>
      <c r="M210" s="9">
        <v>22</v>
      </c>
      <c r="N210" s="9"/>
      <c r="O210" s="9"/>
      <c r="P210" s="9">
        <v>160</v>
      </c>
      <c r="Q210" s="9">
        <v>32</v>
      </c>
      <c r="R210" s="9"/>
      <c r="S210" s="5"/>
      <c r="T210" s="5" t="s">
        <v>1206</v>
      </c>
      <c r="U210" s="5"/>
      <c r="V210" s="5"/>
      <c r="W210" s="5"/>
      <c r="X210" s="9"/>
      <c r="Y210" s="5" t="s">
        <v>1166</v>
      </c>
      <c r="Z210" s="5" t="s">
        <v>112</v>
      </c>
      <c r="AA210" s="5" t="s">
        <v>1207</v>
      </c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 ht="99.75">
      <c r="A211" s="5" t="s">
        <v>1208</v>
      </c>
      <c r="B211" s="5" t="s">
        <v>1155</v>
      </c>
      <c r="C211" s="5" t="s">
        <v>1156</v>
      </c>
      <c r="D211" s="5" t="s">
        <v>1157</v>
      </c>
      <c r="E211" s="5" t="s">
        <v>1158</v>
      </c>
      <c r="F211" s="5" t="s">
        <v>1209</v>
      </c>
      <c r="G211" s="5" t="s">
        <v>1210</v>
      </c>
      <c r="H211" s="5" t="s">
        <v>1161</v>
      </c>
      <c r="I211" s="5" t="s">
        <v>1162</v>
      </c>
      <c r="J211" s="5" t="s">
        <v>150</v>
      </c>
      <c r="K211" s="5" t="s">
        <v>1163</v>
      </c>
      <c r="L211" s="5" t="s">
        <v>1164</v>
      </c>
      <c r="M211" s="9">
        <v>30</v>
      </c>
      <c r="N211" s="9"/>
      <c r="O211" s="9"/>
      <c r="P211" s="9">
        <v>160</v>
      </c>
      <c r="Q211" s="9">
        <v>40</v>
      </c>
      <c r="R211" s="9"/>
      <c r="S211" s="5"/>
      <c r="T211" s="5" t="s">
        <v>1211</v>
      </c>
      <c r="U211" s="5"/>
      <c r="V211" s="5"/>
      <c r="W211" s="5"/>
      <c r="X211" s="9"/>
      <c r="Y211" s="5" t="s">
        <v>1166</v>
      </c>
      <c r="Z211" s="5" t="s">
        <v>112</v>
      </c>
      <c r="AA211" s="5" t="s">
        <v>1212</v>
      </c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 ht="99.75">
      <c r="A212" s="5" t="s">
        <v>1213</v>
      </c>
      <c r="B212" s="5" t="s">
        <v>1155</v>
      </c>
      <c r="C212" s="5" t="s">
        <v>1156</v>
      </c>
      <c r="D212" s="5" t="s">
        <v>1157</v>
      </c>
      <c r="E212" s="5" t="s">
        <v>1158</v>
      </c>
      <c r="F212" s="5" t="s">
        <v>1214</v>
      </c>
      <c r="G212" s="5" t="s">
        <v>1215</v>
      </c>
      <c r="H212" s="5" t="s">
        <v>1161</v>
      </c>
      <c r="I212" s="5" t="s">
        <v>1162</v>
      </c>
      <c r="J212" s="5" t="s">
        <v>150</v>
      </c>
      <c r="K212" s="5" t="s">
        <v>1163</v>
      </c>
      <c r="L212" s="5" t="s">
        <v>1164</v>
      </c>
      <c r="M212" s="9">
        <v>37</v>
      </c>
      <c r="N212" s="9"/>
      <c r="O212" s="9"/>
      <c r="P212" s="9">
        <v>160</v>
      </c>
      <c r="Q212" s="9">
        <v>48</v>
      </c>
      <c r="R212" s="9"/>
      <c r="S212" s="5"/>
      <c r="T212" s="5" t="s">
        <v>1216</v>
      </c>
      <c r="U212" s="5"/>
      <c r="V212" s="5"/>
      <c r="W212" s="5"/>
      <c r="X212" s="9"/>
      <c r="Y212" s="5" t="s">
        <v>1166</v>
      </c>
      <c r="Z212" s="5" t="s">
        <v>112</v>
      </c>
      <c r="AA212" s="5" t="s">
        <v>1217</v>
      </c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 ht="99.75">
      <c r="A213" s="5" t="s">
        <v>1218</v>
      </c>
      <c r="B213" s="5" t="s">
        <v>1155</v>
      </c>
      <c r="C213" s="5" t="s">
        <v>1156</v>
      </c>
      <c r="D213" s="5" t="s">
        <v>1157</v>
      </c>
      <c r="E213" s="5" t="s">
        <v>1158</v>
      </c>
      <c r="F213" s="5" t="s">
        <v>1219</v>
      </c>
      <c r="G213" s="5" t="s">
        <v>1220</v>
      </c>
      <c r="H213" s="5" t="s">
        <v>1161</v>
      </c>
      <c r="I213" s="5" t="s">
        <v>1162</v>
      </c>
      <c r="J213" s="5" t="s">
        <v>150</v>
      </c>
      <c r="K213" s="5" t="s">
        <v>1163</v>
      </c>
      <c r="L213" s="5" t="s">
        <v>1164</v>
      </c>
      <c r="M213" s="9">
        <v>15</v>
      </c>
      <c r="N213" s="9"/>
      <c r="O213" s="9"/>
      <c r="P213" s="9">
        <v>200</v>
      </c>
      <c r="Q213" s="9">
        <v>17</v>
      </c>
      <c r="R213" s="9"/>
      <c r="S213" s="5"/>
      <c r="T213" s="5" t="s">
        <v>1221</v>
      </c>
      <c r="U213" s="5"/>
      <c r="V213" s="5"/>
      <c r="W213" s="5"/>
      <c r="X213" s="9"/>
      <c r="Y213" s="5" t="s">
        <v>1166</v>
      </c>
      <c r="Z213" s="5" t="s">
        <v>112</v>
      </c>
      <c r="AA213" s="5" t="s">
        <v>1222</v>
      </c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 ht="99.75">
      <c r="A214" s="5" t="s">
        <v>1223</v>
      </c>
      <c r="B214" s="5" t="s">
        <v>1155</v>
      </c>
      <c r="C214" s="5" t="s">
        <v>1156</v>
      </c>
      <c r="D214" s="5" t="s">
        <v>1157</v>
      </c>
      <c r="E214" s="5" t="s">
        <v>1158</v>
      </c>
      <c r="F214" s="5" t="s">
        <v>1224</v>
      </c>
      <c r="G214" s="5" t="s">
        <v>1225</v>
      </c>
      <c r="H214" s="5" t="s">
        <v>1161</v>
      </c>
      <c r="I214" s="5" t="s">
        <v>1162</v>
      </c>
      <c r="J214" s="5" t="s">
        <v>150</v>
      </c>
      <c r="K214" s="5" t="s">
        <v>1163</v>
      </c>
      <c r="L214" s="5" t="s">
        <v>1164</v>
      </c>
      <c r="M214" s="9">
        <v>18.5</v>
      </c>
      <c r="N214" s="9"/>
      <c r="O214" s="9"/>
      <c r="P214" s="9">
        <v>200</v>
      </c>
      <c r="Q214" s="9">
        <v>21</v>
      </c>
      <c r="R214" s="9"/>
      <c r="S214" s="5"/>
      <c r="T214" s="5" t="s">
        <v>1226</v>
      </c>
      <c r="U214" s="5"/>
      <c r="V214" s="5"/>
      <c r="W214" s="5"/>
      <c r="X214" s="9"/>
      <c r="Y214" s="5" t="s">
        <v>1166</v>
      </c>
      <c r="Z214" s="5" t="s">
        <v>112</v>
      </c>
      <c r="AA214" s="5" t="s">
        <v>1227</v>
      </c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 ht="99.75">
      <c r="A215" s="5" t="s">
        <v>1228</v>
      </c>
      <c r="B215" s="5" t="s">
        <v>1155</v>
      </c>
      <c r="C215" s="5" t="s">
        <v>1156</v>
      </c>
      <c r="D215" s="5" t="s">
        <v>1157</v>
      </c>
      <c r="E215" s="5" t="s">
        <v>1158</v>
      </c>
      <c r="F215" s="5" t="s">
        <v>1229</v>
      </c>
      <c r="G215" s="5" t="s">
        <v>1230</v>
      </c>
      <c r="H215" s="5" t="s">
        <v>1161</v>
      </c>
      <c r="I215" s="5" t="s">
        <v>1162</v>
      </c>
      <c r="J215" s="5" t="s">
        <v>150</v>
      </c>
      <c r="K215" s="5" t="s">
        <v>1163</v>
      </c>
      <c r="L215" s="5" t="s">
        <v>1164</v>
      </c>
      <c r="M215" s="9">
        <v>22</v>
      </c>
      <c r="N215" s="9"/>
      <c r="O215" s="9"/>
      <c r="P215" s="9">
        <v>200</v>
      </c>
      <c r="Q215" s="9">
        <v>25</v>
      </c>
      <c r="R215" s="9"/>
      <c r="S215" s="5"/>
      <c r="T215" s="5" t="s">
        <v>1231</v>
      </c>
      <c r="U215" s="5"/>
      <c r="V215" s="5"/>
      <c r="W215" s="5"/>
      <c r="X215" s="9"/>
      <c r="Y215" s="5" t="s">
        <v>1166</v>
      </c>
      <c r="Z215" s="5" t="s">
        <v>112</v>
      </c>
      <c r="AA215" s="5" t="s">
        <v>1232</v>
      </c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 ht="99.75">
      <c r="A216" s="5" t="s">
        <v>1233</v>
      </c>
      <c r="B216" s="5" t="s">
        <v>1155</v>
      </c>
      <c r="C216" s="5" t="s">
        <v>1156</v>
      </c>
      <c r="D216" s="5" t="s">
        <v>1157</v>
      </c>
      <c r="E216" s="5" t="s">
        <v>1158</v>
      </c>
      <c r="F216" s="5" t="s">
        <v>1234</v>
      </c>
      <c r="G216" s="5" t="s">
        <v>1235</v>
      </c>
      <c r="H216" s="5" t="s">
        <v>1161</v>
      </c>
      <c r="I216" s="5" t="s">
        <v>1162</v>
      </c>
      <c r="J216" s="5" t="s">
        <v>150</v>
      </c>
      <c r="K216" s="5" t="s">
        <v>1163</v>
      </c>
      <c r="L216" s="5" t="s">
        <v>1164</v>
      </c>
      <c r="M216" s="9">
        <v>30</v>
      </c>
      <c r="N216" s="9"/>
      <c r="O216" s="9"/>
      <c r="P216" s="9">
        <v>200</v>
      </c>
      <c r="Q216" s="9">
        <v>33</v>
      </c>
      <c r="R216" s="9"/>
      <c r="S216" s="5"/>
      <c r="T216" s="5" t="s">
        <v>1236</v>
      </c>
      <c r="U216" s="5"/>
      <c r="V216" s="5"/>
      <c r="W216" s="5"/>
      <c r="X216" s="9"/>
      <c r="Y216" s="5" t="s">
        <v>1166</v>
      </c>
      <c r="Z216" s="5" t="s">
        <v>112</v>
      </c>
      <c r="AA216" s="5" t="s">
        <v>1237</v>
      </c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 ht="99.75">
      <c r="A217" s="5" t="s">
        <v>1238</v>
      </c>
      <c r="B217" s="5" t="s">
        <v>1155</v>
      </c>
      <c r="C217" s="5" t="s">
        <v>1156</v>
      </c>
      <c r="D217" s="5" t="s">
        <v>1157</v>
      </c>
      <c r="E217" s="5" t="s">
        <v>1158</v>
      </c>
      <c r="F217" s="5" t="s">
        <v>1239</v>
      </c>
      <c r="G217" s="5" t="s">
        <v>1240</v>
      </c>
      <c r="H217" s="5" t="s">
        <v>1161</v>
      </c>
      <c r="I217" s="5" t="s">
        <v>1162</v>
      </c>
      <c r="J217" s="5" t="s">
        <v>150</v>
      </c>
      <c r="K217" s="5" t="s">
        <v>1163</v>
      </c>
      <c r="L217" s="5" t="s">
        <v>1164</v>
      </c>
      <c r="M217" s="9">
        <v>37</v>
      </c>
      <c r="N217" s="9"/>
      <c r="O217" s="9"/>
      <c r="P217" s="9">
        <v>200</v>
      </c>
      <c r="Q217" s="9">
        <v>40</v>
      </c>
      <c r="R217" s="9"/>
      <c r="S217" s="5"/>
      <c r="T217" s="5" t="s">
        <v>1241</v>
      </c>
      <c r="U217" s="5"/>
      <c r="V217" s="5"/>
      <c r="W217" s="5"/>
      <c r="X217" s="9"/>
      <c r="Y217" s="5" t="s">
        <v>1166</v>
      </c>
      <c r="Z217" s="5" t="s">
        <v>112</v>
      </c>
      <c r="AA217" s="5" t="s">
        <v>1242</v>
      </c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 ht="99.75">
      <c r="A218" s="5" t="s">
        <v>1243</v>
      </c>
      <c r="B218" s="5" t="s">
        <v>1155</v>
      </c>
      <c r="C218" s="5" t="s">
        <v>1156</v>
      </c>
      <c r="D218" s="5" t="s">
        <v>1157</v>
      </c>
      <c r="E218" s="5" t="s">
        <v>1158</v>
      </c>
      <c r="F218" s="5" t="s">
        <v>1244</v>
      </c>
      <c r="G218" s="5" t="s">
        <v>1245</v>
      </c>
      <c r="H218" s="5" t="s">
        <v>1161</v>
      </c>
      <c r="I218" s="5" t="s">
        <v>1162</v>
      </c>
      <c r="J218" s="5" t="s">
        <v>150</v>
      </c>
      <c r="K218" s="5" t="s">
        <v>1163</v>
      </c>
      <c r="L218" s="5" t="s">
        <v>1164</v>
      </c>
      <c r="M218" s="9">
        <v>45</v>
      </c>
      <c r="N218" s="9"/>
      <c r="O218" s="9"/>
      <c r="P218" s="9">
        <v>200</v>
      </c>
      <c r="Q218" s="9">
        <v>50</v>
      </c>
      <c r="R218" s="9"/>
      <c r="S218" s="5"/>
      <c r="T218" s="5" t="s">
        <v>1246</v>
      </c>
      <c r="U218" s="5"/>
      <c r="V218" s="5"/>
      <c r="W218" s="5"/>
      <c r="X218" s="9"/>
      <c r="Y218" s="5" t="s">
        <v>1166</v>
      </c>
      <c r="Z218" s="5" t="s">
        <v>112</v>
      </c>
      <c r="AA218" s="5" t="s">
        <v>1247</v>
      </c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 ht="99.75">
      <c r="A219" s="5" t="s">
        <v>1248</v>
      </c>
      <c r="B219" s="5" t="s">
        <v>1155</v>
      </c>
      <c r="C219" s="5" t="s">
        <v>1156</v>
      </c>
      <c r="D219" s="5" t="s">
        <v>1157</v>
      </c>
      <c r="E219" s="5" t="s">
        <v>1158</v>
      </c>
      <c r="F219" s="5" t="s">
        <v>1249</v>
      </c>
      <c r="G219" s="5" t="s">
        <v>1250</v>
      </c>
      <c r="H219" s="5" t="s">
        <v>1161</v>
      </c>
      <c r="I219" s="5" t="s">
        <v>1162</v>
      </c>
      <c r="J219" s="5" t="s">
        <v>150</v>
      </c>
      <c r="K219" s="5" t="s">
        <v>1163</v>
      </c>
      <c r="L219" s="5" t="s">
        <v>1164</v>
      </c>
      <c r="M219" s="9">
        <v>18.5</v>
      </c>
      <c r="N219" s="9"/>
      <c r="O219" s="9"/>
      <c r="P219" s="9">
        <v>300</v>
      </c>
      <c r="Q219" s="9">
        <v>16</v>
      </c>
      <c r="R219" s="9"/>
      <c r="S219" s="5"/>
      <c r="T219" s="5" t="s">
        <v>1251</v>
      </c>
      <c r="U219" s="5"/>
      <c r="V219" s="5"/>
      <c r="W219" s="5"/>
      <c r="X219" s="9"/>
      <c r="Y219" s="5" t="s">
        <v>1166</v>
      </c>
      <c r="Z219" s="5" t="s">
        <v>112</v>
      </c>
      <c r="AA219" s="5" t="s">
        <v>1252</v>
      </c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 ht="99.75">
      <c r="A220" s="5" t="s">
        <v>1253</v>
      </c>
      <c r="B220" s="5" t="s">
        <v>1155</v>
      </c>
      <c r="C220" s="5" t="s">
        <v>1156</v>
      </c>
      <c r="D220" s="5" t="s">
        <v>1157</v>
      </c>
      <c r="E220" s="5" t="s">
        <v>1158</v>
      </c>
      <c r="F220" s="5" t="s">
        <v>1254</v>
      </c>
      <c r="G220" s="5" t="s">
        <v>1255</v>
      </c>
      <c r="H220" s="5" t="s">
        <v>1161</v>
      </c>
      <c r="I220" s="5" t="s">
        <v>1162</v>
      </c>
      <c r="J220" s="5" t="s">
        <v>150</v>
      </c>
      <c r="K220" s="5" t="s">
        <v>1163</v>
      </c>
      <c r="L220" s="5" t="s">
        <v>1164</v>
      </c>
      <c r="M220" s="9">
        <v>30</v>
      </c>
      <c r="N220" s="9"/>
      <c r="O220" s="9"/>
      <c r="P220" s="9">
        <v>400</v>
      </c>
      <c r="Q220" s="9">
        <v>20</v>
      </c>
      <c r="R220" s="9"/>
      <c r="S220" s="5"/>
      <c r="T220" s="5" t="s">
        <v>1256</v>
      </c>
      <c r="U220" s="5"/>
      <c r="V220" s="5"/>
      <c r="W220" s="5"/>
      <c r="X220" s="9"/>
      <c r="Y220" s="5" t="s">
        <v>1166</v>
      </c>
      <c r="Z220" s="5" t="s">
        <v>112</v>
      </c>
      <c r="AA220" s="5" t="s">
        <v>1257</v>
      </c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 ht="99.75">
      <c r="A221" s="5" t="s">
        <v>1258</v>
      </c>
      <c r="B221" s="5" t="s">
        <v>1155</v>
      </c>
      <c r="C221" s="5" t="s">
        <v>1156</v>
      </c>
      <c r="D221" s="5" t="s">
        <v>1157</v>
      </c>
      <c r="E221" s="5" t="s">
        <v>1158</v>
      </c>
      <c r="F221" s="5" t="s">
        <v>1259</v>
      </c>
      <c r="G221" s="5" t="s">
        <v>1260</v>
      </c>
      <c r="H221" s="5" t="s">
        <v>1161</v>
      </c>
      <c r="I221" s="5" t="s">
        <v>1162</v>
      </c>
      <c r="J221" s="5" t="s">
        <v>150</v>
      </c>
      <c r="K221" s="5" t="s">
        <v>1163</v>
      </c>
      <c r="L221" s="5" t="s">
        <v>1164</v>
      </c>
      <c r="M221" s="9">
        <v>37</v>
      </c>
      <c r="N221" s="9"/>
      <c r="O221" s="9"/>
      <c r="P221" s="9">
        <v>400</v>
      </c>
      <c r="Q221" s="9">
        <v>23</v>
      </c>
      <c r="R221" s="9"/>
      <c r="S221" s="5"/>
      <c r="T221" s="5" t="s">
        <v>1261</v>
      </c>
      <c r="U221" s="5"/>
      <c r="V221" s="5"/>
      <c r="W221" s="5"/>
      <c r="X221" s="9"/>
      <c r="Y221" s="5" t="s">
        <v>1166</v>
      </c>
      <c r="Z221" s="5" t="s">
        <v>112</v>
      </c>
      <c r="AA221" s="5" t="s">
        <v>1262</v>
      </c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 ht="99.75">
      <c r="A222" s="5" t="s">
        <v>1263</v>
      </c>
      <c r="B222" s="5" t="s">
        <v>1155</v>
      </c>
      <c r="C222" s="5" t="s">
        <v>1156</v>
      </c>
      <c r="D222" s="5" t="s">
        <v>1157</v>
      </c>
      <c r="E222" s="5" t="s">
        <v>1158</v>
      </c>
      <c r="F222" s="5" t="s">
        <v>1264</v>
      </c>
      <c r="G222" s="5" t="s">
        <v>1265</v>
      </c>
      <c r="H222" s="5" t="s">
        <v>1161</v>
      </c>
      <c r="I222" s="5" t="s">
        <v>1162</v>
      </c>
      <c r="J222" s="5" t="s">
        <v>150</v>
      </c>
      <c r="K222" s="5" t="s">
        <v>1163</v>
      </c>
      <c r="L222" s="5" t="s">
        <v>1164</v>
      </c>
      <c r="M222" s="9">
        <v>45</v>
      </c>
      <c r="N222" s="9"/>
      <c r="O222" s="9"/>
      <c r="P222" s="9">
        <v>400</v>
      </c>
      <c r="Q222" s="9">
        <v>27</v>
      </c>
      <c r="R222" s="9"/>
      <c r="S222" s="5"/>
      <c r="T222" s="5" t="s">
        <v>1266</v>
      </c>
      <c r="U222" s="5"/>
      <c r="V222" s="5"/>
      <c r="W222" s="5"/>
      <c r="X222" s="9"/>
      <c r="Y222" s="5" t="s">
        <v>1166</v>
      </c>
      <c r="Z222" s="5" t="s">
        <v>112</v>
      </c>
      <c r="AA222" s="5" t="s">
        <v>1267</v>
      </c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 ht="99.75">
      <c r="A223" s="5" t="s">
        <v>1268</v>
      </c>
      <c r="B223" s="5" t="s">
        <v>1155</v>
      </c>
      <c r="C223" s="5" t="s">
        <v>1156</v>
      </c>
      <c r="D223" s="5" t="s">
        <v>1157</v>
      </c>
      <c r="E223" s="5" t="s">
        <v>1158</v>
      </c>
      <c r="F223" s="5" t="s">
        <v>1269</v>
      </c>
      <c r="G223" s="5" t="s">
        <v>1270</v>
      </c>
      <c r="H223" s="5" t="s">
        <v>1161</v>
      </c>
      <c r="I223" s="5" t="s">
        <v>1162</v>
      </c>
      <c r="J223" s="5" t="s">
        <v>150</v>
      </c>
      <c r="K223" s="5" t="s">
        <v>1163</v>
      </c>
      <c r="L223" s="5" t="s">
        <v>1164</v>
      </c>
      <c r="M223" s="9">
        <v>55</v>
      </c>
      <c r="N223" s="9"/>
      <c r="O223" s="9"/>
      <c r="P223" s="9">
        <v>400</v>
      </c>
      <c r="Q223" s="9">
        <v>32</v>
      </c>
      <c r="R223" s="9"/>
      <c r="S223" s="5"/>
      <c r="T223" s="5" t="s">
        <v>1271</v>
      </c>
      <c r="U223" s="5"/>
      <c r="V223" s="5"/>
      <c r="W223" s="5"/>
      <c r="X223" s="9"/>
      <c r="Y223" s="5" t="s">
        <v>1166</v>
      </c>
      <c r="Z223" s="5" t="s">
        <v>112</v>
      </c>
      <c r="AA223" s="5" t="s">
        <v>1272</v>
      </c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 ht="99.75">
      <c r="A224" s="5" t="s">
        <v>1273</v>
      </c>
      <c r="B224" s="5" t="s">
        <v>1155</v>
      </c>
      <c r="C224" s="5" t="s">
        <v>1156</v>
      </c>
      <c r="D224" s="5" t="s">
        <v>1157</v>
      </c>
      <c r="E224" s="5" t="s">
        <v>1158</v>
      </c>
      <c r="F224" s="5" t="s">
        <v>1274</v>
      </c>
      <c r="G224" s="5" t="s">
        <v>1275</v>
      </c>
      <c r="H224" s="5" t="s">
        <v>1161</v>
      </c>
      <c r="I224" s="5" t="s">
        <v>1162</v>
      </c>
      <c r="J224" s="5" t="s">
        <v>150</v>
      </c>
      <c r="K224" s="5" t="s">
        <v>1163</v>
      </c>
      <c r="L224" s="5" t="s">
        <v>1164</v>
      </c>
      <c r="M224" s="9">
        <v>55</v>
      </c>
      <c r="N224" s="9"/>
      <c r="O224" s="9"/>
      <c r="P224" s="9">
        <v>630</v>
      </c>
      <c r="Q224" s="9">
        <v>20</v>
      </c>
      <c r="R224" s="9"/>
      <c r="S224" s="5"/>
      <c r="T224" s="5" t="s">
        <v>1276</v>
      </c>
      <c r="U224" s="5"/>
      <c r="V224" s="5"/>
      <c r="W224" s="5"/>
      <c r="X224" s="9"/>
      <c r="Y224" s="5" t="s">
        <v>1166</v>
      </c>
      <c r="Z224" s="5" t="s">
        <v>112</v>
      </c>
      <c r="AA224" s="5" t="s">
        <v>1277</v>
      </c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 ht="99.75">
      <c r="A225" s="5" t="s">
        <v>1278</v>
      </c>
      <c r="B225" s="5" t="s">
        <v>1155</v>
      </c>
      <c r="C225" s="5" t="s">
        <v>1156</v>
      </c>
      <c r="D225" s="5" t="s">
        <v>1157</v>
      </c>
      <c r="E225" s="5" t="s">
        <v>1158</v>
      </c>
      <c r="F225" s="5" t="s">
        <v>1279</v>
      </c>
      <c r="G225" s="5" t="s">
        <v>1280</v>
      </c>
      <c r="H225" s="5" t="s">
        <v>1161</v>
      </c>
      <c r="I225" s="5" t="s">
        <v>1162</v>
      </c>
      <c r="J225" s="5" t="s">
        <v>150</v>
      </c>
      <c r="K225" s="5" t="s">
        <v>1163</v>
      </c>
      <c r="L225" s="5" t="s">
        <v>1164</v>
      </c>
      <c r="M225" s="9">
        <v>90</v>
      </c>
      <c r="N225" s="9"/>
      <c r="O225" s="9"/>
      <c r="P225" s="9">
        <v>630</v>
      </c>
      <c r="Q225" s="9">
        <v>32</v>
      </c>
      <c r="R225" s="9"/>
      <c r="S225" s="5"/>
      <c r="T225" s="5" t="s">
        <v>1281</v>
      </c>
      <c r="U225" s="5"/>
      <c r="V225" s="5"/>
      <c r="W225" s="5"/>
      <c r="X225" s="9"/>
      <c r="Y225" s="5" t="s">
        <v>1166</v>
      </c>
      <c r="Z225" s="5" t="s">
        <v>112</v>
      </c>
      <c r="AA225" s="5" t="s">
        <v>1282</v>
      </c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 ht="99.75">
      <c r="A226" s="5" t="s">
        <v>1283</v>
      </c>
      <c r="B226" s="5" t="s">
        <v>1155</v>
      </c>
      <c r="C226" s="5" t="s">
        <v>1156</v>
      </c>
      <c r="D226" s="5" t="s">
        <v>1157</v>
      </c>
      <c r="E226" s="5" t="s">
        <v>1158</v>
      </c>
      <c r="F226" s="5" t="s">
        <v>1284</v>
      </c>
      <c r="G226" s="5" t="s">
        <v>1285</v>
      </c>
      <c r="H226" s="5" t="s">
        <v>1161</v>
      </c>
      <c r="I226" s="5" t="s">
        <v>1162</v>
      </c>
      <c r="J226" s="5" t="s">
        <v>150</v>
      </c>
      <c r="K226" s="5" t="s">
        <v>1163</v>
      </c>
      <c r="L226" s="5" t="s">
        <v>1164</v>
      </c>
      <c r="M226" s="9">
        <v>200</v>
      </c>
      <c r="N226" s="9"/>
      <c r="O226" s="9"/>
      <c r="P226" s="9">
        <v>900</v>
      </c>
      <c r="Q226" s="9">
        <v>55</v>
      </c>
      <c r="R226" s="9"/>
      <c r="S226" s="5"/>
      <c r="T226" s="5" t="s">
        <v>1286</v>
      </c>
      <c r="U226" s="5"/>
      <c r="V226" s="5"/>
      <c r="W226" s="5"/>
      <c r="X226" s="9"/>
      <c r="Y226" s="5" t="s">
        <v>1166</v>
      </c>
      <c r="Z226" s="5" t="s">
        <v>112</v>
      </c>
      <c r="AA226" s="5" t="s">
        <v>1287</v>
      </c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 ht="85.5">
      <c r="A227" s="5" t="s">
        <v>1288</v>
      </c>
      <c r="B227" s="5" t="s">
        <v>1155</v>
      </c>
      <c r="C227" s="5" t="s">
        <v>331</v>
      </c>
      <c r="D227" s="5" t="s">
        <v>1289</v>
      </c>
      <c r="E227" s="5" t="s">
        <v>1290</v>
      </c>
      <c r="F227" s="5" t="s">
        <v>1291</v>
      </c>
      <c r="G227" s="5" t="s">
        <v>1292</v>
      </c>
      <c r="H227" s="5" t="s">
        <v>102</v>
      </c>
      <c r="I227" s="5" t="s">
        <v>103</v>
      </c>
      <c r="J227" s="5" t="s">
        <v>150</v>
      </c>
      <c r="K227" s="5" t="s">
        <v>292</v>
      </c>
      <c r="L227" s="5" t="s">
        <v>568</v>
      </c>
      <c r="M227" s="9"/>
      <c r="N227" s="9">
        <v>128</v>
      </c>
      <c r="O227" s="9">
        <v>80</v>
      </c>
      <c r="P227" s="9"/>
      <c r="Q227" s="9"/>
      <c r="R227" s="9"/>
      <c r="S227" s="5" t="s">
        <v>1293</v>
      </c>
      <c r="T227" s="5" t="s">
        <v>1294</v>
      </c>
      <c r="U227" s="5" t="s">
        <v>109</v>
      </c>
      <c r="V227" s="5" t="s">
        <v>109</v>
      </c>
      <c r="W227" s="5" t="s">
        <v>110</v>
      </c>
      <c r="X227" s="9"/>
      <c r="Y227" s="5" t="s">
        <v>1295</v>
      </c>
      <c r="Z227" s="5" t="s">
        <v>112</v>
      </c>
      <c r="AA227" s="5" t="s">
        <v>1296</v>
      </c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 ht="85.5">
      <c r="A228" s="5" t="s">
        <v>1297</v>
      </c>
      <c r="B228" s="5" t="s">
        <v>1155</v>
      </c>
      <c r="C228" s="5" t="s">
        <v>331</v>
      </c>
      <c r="D228" s="5" t="s">
        <v>1289</v>
      </c>
      <c r="E228" s="5" t="s">
        <v>1290</v>
      </c>
      <c r="F228" s="5" t="s">
        <v>1298</v>
      </c>
      <c r="G228" s="5" t="s">
        <v>1299</v>
      </c>
      <c r="H228" s="5" t="s">
        <v>102</v>
      </c>
      <c r="I228" s="5" t="s">
        <v>103</v>
      </c>
      <c r="J228" s="5" t="s">
        <v>150</v>
      </c>
      <c r="K228" s="5" t="s">
        <v>292</v>
      </c>
      <c r="L228" s="5" t="s">
        <v>568</v>
      </c>
      <c r="M228" s="9"/>
      <c r="N228" s="9">
        <v>39</v>
      </c>
      <c r="O228" s="9">
        <v>180</v>
      </c>
      <c r="P228" s="9"/>
      <c r="Q228" s="9"/>
      <c r="R228" s="9"/>
      <c r="S228" s="5" t="s">
        <v>1300</v>
      </c>
      <c r="T228" s="5" t="s">
        <v>1301</v>
      </c>
      <c r="U228" s="5" t="s">
        <v>109</v>
      </c>
      <c r="V228" s="5" t="s">
        <v>109</v>
      </c>
      <c r="W228" s="5" t="s">
        <v>110</v>
      </c>
      <c r="X228" s="9"/>
      <c r="Y228" s="5" t="s">
        <v>1295</v>
      </c>
      <c r="Z228" s="5" t="s">
        <v>112</v>
      </c>
      <c r="AA228" s="5" t="s">
        <v>1302</v>
      </c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 ht="85.5">
      <c r="A229" s="5" t="s">
        <v>1303</v>
      </c>
      <c r="B229" s="5" t="s">
        <v>1155</v>
      </c>
      <c r="C229" s="5" t="s">
        <v>331</v>
      </c>
      <c r="D229" s="5" t="s">
        <v>1289</v>
      </c>
      <c r="E229" s="5" t="s">
        <v>1290</v>
      </c>
      <c r="F229" s="5" t="s">
        <v>1304</v>
      </c>
      <c r="G229" s="5" t="s">
        <v>1305</v>
      </c>
      <c r="H229" s="5" t="s">
        <v>102</v>
      </c>
      <c r="I229" s="5" t="s">
        <v>103</v>
      </c>
      <c r="J229" s="5" t="s">
        <v>150</v>
      </c>
      <c r="K229" s="5" t="s">
        <v>292</v>
      </c>
      <c r="L229" s="5" t="s">
        <v>568</v>
      </c>
      <c r="M229" s="9"/>
      <c r="N229" s="9">
        <v>235</v>
      </c>
      <c r="O229" s="9">
        <v>140</v>
      </c>
      <c r="P229" s="9"/>
      <c r="Q229" s="9"/>
      <c r="R229" s="9"/>
      <c r="S229" s="5" t="s">
        <v>1306</v>
      </c>
      <c r="T229" s="5" t="s">
        <v>1307</v>
      </c>
      <c r="U229" s="5" t="s">
        <v>109</v>
      </c>
      <c r="V229" s="5" t="s">
        <v>109</v>
      </c>
      <c r="W229" s="5" t="s">
        <v>110</v>
      </c>
      <c r="X229" s="9"/>
      <c r="Y229" s="5" t="s">
        <v>1295</v>
      </c>
      <c r="Z229" s="5" t="s">
        <v>112</v>
      </c>
      <c r="AA229" s="5" t="s">
        <v>1308</v>
      </c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 ht="85.5">
      <c r="A230" s="5" t="s">
        <v>1309</v>
      </c>
      <c r="B230" s="5" t="s">
        <v>1155</v>
      </c>
      <c r="C230" s="5" t="s">
        <v>331</v>
      </c>
      <c r="D230" s="5" t="s">
        <v>1289</v>
      </c>
      <c r="E230" s="5" t="s">
        <v>1290</v>
      </c>
      <c r="F230" s="5" t="s">
        <v>1310</v>
      </c>
      <c r="G230" s="5" t="s">
        <v>1311</v>
      </c>
      <c r="H230" s="5" t="s">
        <v>102</v>
      </c>
      <c r="I230" s="5" t="s">
        <v>103</v>
      </c>
      <c r="J230" s="5" t="s">
        <v>150</v>
      </c>
      <c r="K230" s="5" t="s">
        <v>292</v>
      </c>
      <c r="L230" s="5" t="s">
        <v>568</v>
      </c>
      <c r="M230" s="9"/>
      <c r="N230" s="9">
        <v>218</v>
      </c>
      <c r="O230" s="9">
        <v>120</v>
      </c>
      <c r="P230" s="9"/>
      <c r="Q230" s="9"/>
      <c r="R230" s="9"/>
      <c r="S230" s="5" t="s">
        <v>1312</v>
      </c>
      <c r="T230" s="5" t="s">
        <v>1313</v>
      </c>
      <c r="U230" s="5" t="s">
        <v>109</v>
      </c>
      <c r="V230" s="5" t="s">
        <v>109</v>
      </c>
      <c r="W230" s="5" t="s">
        <v>110</v>
      </c>
      <c r="X230" s="9"/>
      <c r="Y230" s="5" t="s">
        <v>1295</v>
      </c>
      <c r="Z230" s="5" t="s">
        <v>112</v>
      </c>
      <c r="AA230" s="5" t="s">
        <v>1314</v>
      </c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 ht="85.5">
      <c r="A231" s="5" t="s">
        <v>1315</v>
      </c>
      <c r="B231" s="5" t="s">
        <v>1155</v>
      </c>
      <c r="C231" s="5" t="s">
        <v>331</v>
      </c>
      <c r="D231" s="5" t="s">
        <v>1289</v>
      </c>
      <c r="E231" s="5" t="s">
        <v>1290</v>
      </c>
      <c r="F231" s="5" t="s">
        <v>1316</v>
      </c>
      <c r="G231" s="5" t="s">
        <v>1317</v>
      </c>
      <c r="H231" s="5" t="s">
        <v>102</v>
      </c>
      <c r="I231" s="5" t="s">
        <v>103</v>
      </c>
      <c r="J231" s="5" t="s">
        <v>150</v>
      </c>
      <c r="K231" s="5" t="s">
        <v>292</v>
      </c>
      <c r="L231" s="5" t="s">
        <v>568</v>
      </c>
      <c r="M231" s="9"/>
      <c r="N231" s="9">
        <v>228</v>
      </c>
      <c r="O231" s="9">
        <v>200</v>
      </c>
      <c r="P231" s="9"/>
      <c r="Q231" s="9"/>
      <c r="R231" s="9"/>
      <c r="S231" s="5" t="s">
        <v>1318</v>
      </c>
      <c r="T231" s="5" t="s">
        <v>1319</v>
      </c>
      <c r="U231" s="5" t="s">
        <v>109</v>
      </c>
      <c r="V231" s="5" t="s">
        <v>109</v>
      </c>
      <c r="W231" s="5" t="s">
        <v>110</v>
      </c>
      <c r="X231" s="9"/>
      <c r="Y231" s="5" t="s">
        <v>1295</v>
      </c>
      <c r="Z231" s="5" t="s">
        <v>112</v>
      </c>
      <c r="AA231" s="5" t="s">
        <v>1320</v>
      </c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 ht="85.5">
      <c r="A232" s="5" t="s">
        <v>1321</v>
      </c>
      <c r="B232" s="5" t="s">
        <v>1155</v>
      </c>
      <c r="C232" s="5" t="s">
        <v>331</v>
      </c>
      <c r="D232" s="5" t="s">
        <v>1289</v>
      </c>
      <c r="E232" s="5" t="s">
        <v>1290</v>
      </c>
      <c r="F232" s="5" t="s">
        <v>1322</v>
      </c>
      <c r="G232" s="5" t="s">
        <v>1323</v>
      </c>
      <c r="H232" s="5" t="s">
        <v>102</v>
      </c>
      <c r="I232" s="5" t="s">
        <v>103</v>
      </c>
      <c r="J232" s="5" t="s">
        <v>150</v>
      </c>
      <c r="K232" s="5" t="s">
        <v>292</v>
      </c>
      <c r="L232" s="5" t="s">
        <v>568</v>
      </c>
      <c r="M232" s="9"/>
      <c r="N232" s="9">
        <v>241</v>
      </c>
      <c r="O232" s="9">
        <v>200</v>
      </c>
      <c r="P232" s="9"/>
      <c r="Q232" s="9"/>
      <c r="R232" s="9"/>
      <c r="S232" s="5" t="s">
        <v>1324</v>
      </c>
      <c r="T232" s="5" t="s">
        <v>1325</v>
      </c>
      <c r="U232" s="5" t="s">
        <v>109</v>
      </c>
      <c r="V232" s="5" t="s">
        <v>109</v>
      </c>
      <c r="W232" s="5" t="s">
        <v>110</v>
      </c>
      <c r="X232" s="9"/>
      <c r="Y232" s="5" t="s">
        <v>1295</v>
      </c>
      <c r="Z232" s="5" t="s">
        <v>112</v>
      </c>
      <c r="AA232" s="5" t="s">
        <v>1326</v>
      </c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 ht="85.5">
      <c r="A233" s="5" t="s">
        <v>1327</v>
      </c>
      <c r="B233" s="5" t="s">
        <v>1155</v>
      </c>
      <c r="C233" s="5" t="s">
        <v>331</v>
      </c>
      <c r="D233" s="5" t="s">
        <v>1289</v>
      </c>
      <c r="E233" s="5" t="s">
        <v>1328</v>
      </c>
      <c r="F233" s="5" t="s">
        <v>1291</v>
      </c>
      <c r="G233" s="5" t="s">
        <v>1329</v>
      </c>
      <c r="H233" s="5" t="s">
        <v>250</v>
      </c>
      <c r="I233" s="5" t="s">
        <v>1330</v>
      </c>
      <c r="J233" s="5" t="s">
        <v>150</v>
      </c>
      <c r="K233" s="5" t="s">
        <v>292</v>
      </c>
      <c r="L233" s="5" t="s">
        <v>568</v>
      </c>
      <c r="M233" s="9"/>
      <c r="N233" s="9">
        <v>114</v>
      </c>
      <c r="O233" s="9">
        <v>90</v>
      </c>
      <c r="P233" s="9"/>
      <c r="Q233" s="9"/>
      <c r="R233" s="9"/>
      <c r="S233" s="5" t="s">
        <v>1293</v>
      </c>
      <c r="T233" s="5" t="s">
        <v>1331</v>
      </c>
      <c r="U233" s="5" t="s">
        <v>110</v>
      </c>
      <c r="V233" s="5" t="s">
        <v>109</v>
      </c>
      <c r="W233" s="5" t="s">
        <v>110</v>
      </c>
      <c r="X233" s="9"/>
      <c r="Y233" s="5" t="s">
        <v>1332</v>
      </c>
      <c r="Z233" s="5" t="s">
        <v>112</v>
      </c>
      <c r="AA233" s="5" t="s">
        <v>1333</v>
      </c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 ht="85.5">
      <c r="A234" s="5" t="s">
        <v>1334</v>
      </c>
      <c r="B234" s="5" t="s">
        <v>1155</v>
      </c>
      <c r="C234" s="5" t="s">
        <v>331</v>
      </c>
      <c r="D234" s="5" t="s">
        <v>1289</v>
      </c>
      <c r="E234" s="5" t="s">
        <v>1328</v>
      </c>
      <c r="F234" s="5" t="s">
        <v>1298</v>
      </c>
      <c r="G234" s="5" t="s">
        <v>1335</v>
      </c>
      <c r="H234" s="5" t="s">
        <v>250</v>
      </c>
      <c r="I234" s="5" t="s">
        <v>1330</v>
      </c>
      <c r="J234" s="5" t="s">
        <v>150</v>
      </c>
      <c r="K234" s="5" t="s">
        <v>292</v>
      </c>
      <c r="L234" s="5" t="s">
        <v>568</v>
      </c>
      <c r="M234" s="9"/>
      <c r="N234" s="9">
        <v>120</v>
      </c>
      <c r="O234" s="9">
        <v>80</v>
      </c>
      <c r="P234" s="9"/>
      <c r="Q234" s="9"/>
      <c r="R234" s="9"/>
      <c r="S234" s="5" t="s">
        <v>1300</v>
      </c>
      <c r="T234" s="5" t="s">
        <v>1336</v>
      </c>
      <c r="U234" s="5" t="s">
        <v>110</v>
      </c>
      <c r="V234" s="5" t="s">
        <v>109</v>
      </c>
      <c r="W234" s="5" t="s">
        <v>110</v>
      </c>
      <c r="X234" s="9"/>
      <c r="Y234" s="5" t="s">
        <v>1332</v>
      </c>
      <c r="Z234" s="5" t="s">
        <v>112</v>
      </c>
      <c r="AA234" s="5" t="s">
        <v>1337</v>
      </c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 ht="85.5">
      <c r="A235" s="5" t="s">
        <v>1338</v>
      </c>
      <c r="B235" s="5" t="s">
        <v>1155</v>
      </c>
      <c r="C235" s="5" t="s">
        <v>331</v>
      </c>
      <c r="D235" s="5" t="s">
        <v>1289</v>
      </c>
      <c r="E235" s="5" t="s">
        <v>1328</v>
      </c>
      <c r="F235" s="5" t="s">
        <v>1304</v>
      </c>
      <c r="G235" s="5" t="s">
        <v>1339</v>
      </c>
      <c r="H235" s="5" t="s">
        <v>250</v>
      </c>
      <c r="I235" s="5" t="s">
        <v>1330</v>
      </c>
      <c r="J235" s="5" t="s">
        <v>150</v>
      </c>
      <c r="K235" s="5" t="s">
        <v>292</v>
      </c>
      <c r="L235" s="5" t="s">
        <v>568</v>
      </c>
      <c r="M235" s="9"/>
      <c r="N235" s="9">
        <v>279</v>
      </c>
      <c r="O235" s="9">
        <v>80</v>
      </c>
      <c r="P235" s="9"/>
      <c r="Q235" s="9"/>
      <c r="R235" s="9"/>
      <c r="S235" s="5" t="s">
        <v>1306</v>
      </c>
      <c r="T235" s="5" t="s">
        <v>1340</v>
      </c>
      <c r="U235" s="5" t="s">
        <v>110</v>
      </c>
      <c r="V235" s="5" t="s">
        <v>109</v>
      </c>
      <c r="W235" s="5" t="s">
        <v>110</v>
      </c>
      <c r="X235" s="9"/>
      <c r="Y235" s="5" t="s">
        <v>1332</v>
      </c>
      <c r="Z235" s="5" t="s">
        <v>112</v>
      </c>
      <c r="AA235" s="5" t="s">
        <v>1341</v>
      </c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 ht="85.5">
      <c r="A236" s="5" t="s">
        <v>1342</v>
      </c>
      <c r="B236" s="5" t="s">
        <v>1155</v>
      </c>
      <c r="C236" s="5" t="s">
        <v>331</v>
      </c>
      <c r="D236" s="5" t="s">
        <v>1289</v>
      </c>
      <c r="E236" s="5" t="s">
        <v>1328</v>
      </c>
      <c r="F236" s="5" t="s">
        <v>1310</v>
      </c>
      <c r="G236" s="5" t="s">
        <v>1343</v>
      </c>
      <c r="H236" s="5" t="s">
        <v>250</v>
      </c>
      <c r="I236" s="5" t="s">
        <v>1330</v>
      </c>
      <c r="J236" s="5" t="s">
        <v>150</v>
      </c>
      <c r="K236" s="5" t="s">
        <v>292</v>
      </c>
      <c r="L236" s="5" t="s">
        <v>568</v>
      </c>
      <c r="M236" s="9"/>
      <c r="N236" s="9">
        <v>306</v>
      </c>
      <c r="O236" s="9">
        <v>80</v>
      </c>
      <c r="P236" s="9"/>
      <c r="Q236" s="9"/>
      <c r="R236" s="9"/>
      <c r="S236" s="5" t="s">
        <v>1312</v>
      </c>
      <c r="T236" s="5" t="s">
        <v>1344</v>
      </c>
      <c r="U236" s="5" t="s">
        <v>110</v>
      </c>
      <c r="V236" s="5" t="s">
        <v>109</v>
      </c>
      <c r="W236" s="5" t="s">
        <v>110</v>
      </c>
      <c r="X236" s="9"/>
      <c r="Y236" s="5" t="s">
        <v>1332</v>
      </c>
      <c r="Z236" s="5" t="s">
        <v>112</v>
      </c>
      <c r="AA236" s="5" t="s">
        <v>1345</v>
      </c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 ht="85.5">
      <c r="A237" s="5" t="s">
        <v>1346</v>
      </c>
      <c r="B237" s="5" t="s">
        <v>1155</v>
      </c>
      <c r="C237" s="5" t="s">
        <v>331</v>
      </c>
      <c r="D237" s="5" t="s">
        <v>1289</v>
      </c>
      <c r="E237" s="5" t="s">
        <v>1328</v>
      </c>
      <c r="F237" s="5" t="s">
        <v>1316</v>
      </c>
      <c r="G237" s="5" t="s">
        <v>1347</v>
      </c>
      <c r="H237" s="5" t="s">
        <v>250</v>
      </c>
      <c r="I237" s="5" t="s">
        <v>1330</v>
      </c>
      <c r="J237" s="5" t="s">
        <v>150</v>
      </c>
      <c r="K237" s="5" t="s">
        <v>292</v>
      </c>
      <c r="L237" s="5" t="s">
        <v>568</v>
      </c>
      <c r="M237" s="9"/>
      <c r="N237" s="9">
        <v>457</v>
      </c>
      <c r="O237" s="9">
        <v>40</v>
      </c>
      <c r="P237" s="9"/>
      <c r="Q237" s="9"/>
      <c r="R237" s="9"/>
      <c r="S237" s="5" t="s">
        <v>1318</v>
      </c>
      <c r="T237" s="5" t="s">
        <v>1348</v>
      </c>
      <c r="U237" s="5" t="s">
        <v>110</v>
      </c>
      <c r="V237" s="5" t="s">
        <v>109</v>
      </c>
      <c r="W237" s="5" t="s">
        <v>110</v>
      </c>
      <c r="X237" s="9"/>
      <c r="Y237" s="5" t="s">
        <v>1332</v>
      </c>
      <c r="Z237" s="5" t="s">
        <v>112</v>
      </c>
      <c r="AA237" s="5" t="s">
        <v>1349</v>
      </c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 ht="85.5">
      <c r="A238" s="5" t="s">
        <v>1350</v>
      </c>
      <c r="B238" s="5" t="s">
        <v>1155</v>
      </c>
      <c r="C238" s="5" t="s">
        <v>331</v>
      </c>
      <c r="D238" s="5" t="s">
        <v>1289</v>
      </c>
      <c r="E238" s="5" t="s">
        <v>1328</v>
      </c>
      <c r="F238" s="5" t="s">
        <v>1322</v>
      </c>
      <c r="G238" s="5" t="s">
        <v>1351</v>
      </c>
      <c r="H238" s="5" t="s">
        <v>250</v>
      </c>
      <c r="I238" s="5" t="s">
        <v>1330</v>
      </c>
      <c r="J238" s="5" t="s">
        <v>150</v>
      </c>
      <c r="K238" s="5" t="s">
        <v>292</v>
      </c>
      <c r="L238" s="5" t="s">
        <v>568</v>
      </c>
      <c r="M238" s="9"/>
      <c r="N238" s="9">
        <v>499</v>
      </c>
      <c r="O238" s="9">
        <v>90</v>
      </c>
      <c r="P238" s="9"/>
      <c r="Q238" s="9"/>
      <c r="R238" s="9"/>
      <c r="S238" s="5" t="s">
        <v>1324</v>
      </c>
      <c r="T238" s="5" t="s">
        <v>1352</v>
      </c>
      <c r="U238" s="5" t="s">
        <v>110</v>
      </c>
      <c r="V238" s="5" t="s">
        <v>109</v>
      </c>
      <c r="W238" s="5" t="s">
        <v>110</v>
      </c>
      <c r="X238" s="9"/>
      <c r="Y238" s="5" t="s">
        <v>1332</v>
      </c>
      <c r="Z238" s="5" t="s">
        <v>112</v>
      </c>
      <c r="AA238" s="5" t="s">
        <v>1353</v>
      </c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 ht="114">
      <c r="A239" s="5" t="s">
        <v>1354</v>
      </c>
      <c r="B239" s="5" t="s">
        <v>1155</v>
      </c>
      <c r="C239" s="5" t="s">
        <v>1355</v>
      </c>
      <c r="D239" s="5" t="s">
        <v>1356</v>
      </c>
      <c r="E239" s="5" t="s">
        <v>1357</v>
      </c>
      <c r="F239" s="5" t="s">
        <v>1358</v>
      </c>
      <c r="G239" s="5" t="s">
        <v>1359</v>
      </c>
      <c r="H239" s="5" t="s">
        <v>1360</v>
      </c>
      <c r="I239" s="5" t="s">
        <v>1330</v>
      </c>
      <c r="J239" s="5" t="s">
        <v>150</v>
      </c>
      <c r="K239" s="5" t="s">
        <v>292</v>
      </c>
      <c r="L239" s="5" t="s">
        <v>1164</v>
      </c>
      <c r="M239" s="9">
        <v>200</v>
      </c>
      <c r="N239" s="9"/>
      <c r="O239" s="9"/>
      <c r="P239" s="9">
        <v>1332</v>
      </c>
      <c r="Q239" s="9">
        <v>40</v>
      </c>
      <c r="R239" s="9"/>
      <c r="S239" s="5" t="s">
        <v>1361</v>
      </c>
      <c r="T239" s="5" t="s">
        <v>1362</v>
      </c>
      <c r="U239" s="5" t="s">
        <v>110</v>
      </c>
      <c r="V239" s="5" t="s">
        <v>109</v>
      </c>
      <c r="W239" s="5" t="s">
        <v>110</v>
      </c>
      <c r="X239" s="9"/>
      <c r="Y239" s="5" t="s">
        <v>1363</v>
      </c>
      <c r="Z239" s="5" t="s">
        <v>1364</v>
      </c>
      <c r="AA239" s="5" t="s">
        <v>1365</v>
      </c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 ht="99.75">
      <c r="A240" s="5" t="s">
        <v>1366</v>
      </c>
      <c r="B240" s="5" t="s">
        <v>1155</v>
      </c>
      <c r="C240" s="5" t="s">
        <v>1355</v>
      </c>
      <c r="D240" s="5" t="s">
        <v>1356</v>
      </c>
      <c r="E240" s="5" t="s">
        <v>1357</v>
      </c>
      <c r="F240" s="5" t="s">
        <v>1367</v>
      </c>
      <c r="G240" s="5" t="s">
        <v>1368</v>
      </c>
      <c r="H240" s="5" t="s">
        <v>1360</v>
      </c>
      <c r="I240" s="5" t="s">
        <v>1330</v>
      </c>
      <c r="J240" s="5" t="s">
        <v>150</v>
      </c>
      <c r="K240" s="5" t="s">
        <v>1163</v>
      </c>
      <c r="L240" s="5" t="s">
        <v>1164</v>
      </c>
      <c r="M240" s="9">
        <v>200</v>
      </c>
      <c r="N240" s="9"/>
      <c r="O240" s="9"/>
      <c r="P240" s="9"/>
      <c r="Q240" s="9"/>
      <c r="R240" s="9"/>
      <c r="S240" s="5"/>
      <c r="T240" s="5" t="s">
        <v>1369</v>
      </c>
      <c r="U240" s="5" t="s">
        <v>110</v>
      </c>
      <c r="V240" s="5" t="s">
        <v>109</v>
      </c>
      <c r="W240" s="5" t="s">
        <v>110</v>
      </c>
      <c r="X240" s="9"/>
      <c r="Y240" s="5" t="s">
        <v>1370</v>
      </c>
      <c r="Z240" s="5" t="s">
        <v>1364</v>
      </c>
      <c r="AA240" s="5" t="s">
        <v>1371</v>
      </c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 ht="99.75">
      <c r="A241" s="5" t="s">
        <v>1372</v>
      </c>
      <c r="B241" s="5" t="s">
        <v>1155</v>
      </c>
      <c r="C241" s="5" t="s">
        <v>1355</v>
      </c>
      <c r="D241" s="5" t="s">
        <v>1356</v>
      </c>
      <c r="E241" s="5" t="s">
        <v>1357</v>
      </c>
      <c r="F241" s="5" t="s">
        <v>1373</v>
      </c>
      <c r="G241" s="5" t="s">
        <v>1374</v>
      </c>
      <c r="H241" s="5" t="s">
        <v>1360</v>
      </c>
      <c r="I241" s="5" t="s">
        <v>1330</v>
      </c>
      <c r="J241" s="5" t="s">
        <v>150</v>
      </c>
      <c r="K241" s="5" t="s">
        <v>1163</v>
      </c>
      <c r="L241" s="5" t="s">
        <v>1164</v>
      </c>
      <c r="M241" s="9">
        <v>75</v>
      </c>
      <c r="N241" s="9"/>
      <c r="O241" s="9"/>
      <c r="P241" s="9">
        <v>288</v>
      </c>
      <c r="Q241" s="9">
        <v>50</v>
      </c>
      <c r="R241" s="9"/>
      <c r="S241" s="5"/>
      <c r="T241" s="5" t="s">
        <v>1375</v>
      </c>
      <c r="U241" s="5" t="s">
        <v>110</v>
      </c>
      <c r="V241" s="5" t="s">
        <v>109</v>
      </c>
      <c r="W241" s="5" t="s">
        <v>110</v>
      </c>
      <c r="X241" s="9"/>
      <c r="Y241" s="5" t="s">
        <v>1376</v>
      </c>
      <c r="Z241" s="5" t="s">
        <v>1364</v>
      </c>
      <c r="AA241" s="5" t="s">
        <v>1377</v>
      </c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 ht="99.75">
      <c r="A242" s="5" t="s">
        <v>1378</v>
      </c>
      <c r="B242" s="5" t="s">
        <v>1155</v>
      </c>
      <c r="C242" s="5" t="s">
        <v>1355</v>
      </c>
      <c r="D242" s="5" t="s">
        <v>1356</v>
      </c>
      <c r="E242" s="5" t="s">
        <v>1357</v>
      </c>
      <c r="F242" s="5" t="s">
        <v>1379</v>
      </c>
      <c r="G242" s="5" t="s">
        <v>1380</v>
      </c>
      <c r="H242" s="5" t="s">
        <v>1360</v>
      </c>
      <c r="I242" s="5" t="s">
        <v>1330</v>
      </c>
      <c r="J242" s="5" t="s">
        <v>150</v>
      </c>
      <c r="K242" s="5" t="s">
        <v>1163</v>
      </c>
      <c r="L242" s="5" t="s">
        <v>1164</v>
      </c>
      <c r="M242" s="9">
        <v>200</v>
      </c>
      <c r="N242" s="9"/>
      <c r="O242" s="9"/>
      <c r="P242" s="9">
        <v>288</v>
      </c>
      <c r="Q242" s="9">
        <v>50</v>
      </c>
      <c r="R242" s="9"/>
      <c r="S242" s="5"/>
      <c r="T242" s="5" t="s">
        <v>1381</v>
      </c>
      <c r="U242" s="5" t="s">
        <v>110</v>
      </c>
      <c r="V242" s="5" t="s">
        <v>109</v>
      </c>
      <c r="W242" s="5" t="s">
        <v>110</v>
      </c>
      <c r="X242" s="9"/>
      <c r="Y242" s="5" t="s">
        <v>1376</v>
      </c>
      <c r="Z242" s="5" t="s">
        <v>1364</v>
      </c>
      <c r="AA242" s="5" t="s">
        <v>1382</v>
      </c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 ht="99.75">
      <c r="A243" s="5" t="s">
        <v>1383</v>
      </c>
      <c r="B243" s="5" t="s">
        <v>1155</v>
      </c>
      <c r="C243" s="5" t="s">
        <v>1355</v>
      </c>
      <c r="D243" s="5" t="s">
        <v>1356</v>
      </c>
      <c r="E243" s="5" t="s">
        <v>1357</v>
      </c>
      <c r="F243" s="5" t="s">
        <v>1384</v>
      </c>
      <c r="G243" s="5" t="s">
        <v>1385</v>
      </c>
      <c r="H243" s="5" t="s">
        <v>1386</v>
      </c>
      <c r="I243" s="5" t="s">
        <v>1330</v>
      </c>
      <c r="J243" s="5" t="s">
        <v>150</v>
      </c>
      <c r="K243" s="5" t="s">
        <v>1163</v>
      </c>
      <c r="L243" s="5" t="s">
        <v>1164</v>
      </c>
      <c r="M243" s="9">
        <v>45</v>
      </c>
      <c r="N243" s="9"/>
      <c r="O243" s="9"/>
      <c r="P243" s="9">
        <v>100</v>
      </c>
      <c r="Q243" s="9">
        <v>60</v>
      </c>
      <c r="R243" s="9"/>
      <c r="S243" s="5"/>
      <c r="T243" s="5" t="s">
        <v>1387</v>
      </c>
      <c r="U243" s="5" t="s">
        <v>110</v>
      </c>
      <c r="V243" s="5" t="s">
        <v>109</v>
      </c>
      <c r="W243" s="5" t="s">
        <v>110</v>
      </c>
      <c r="X243" s="9"/>
      <c r="Y243" s="5" t="s">
        <v>1388</v>
      </c>
      <c r="Z243" s="5" t="s">
        <v>1364</v>
      </c>
      <c r="AA243" s="5" t="s">
        <v>1389</v>
      </c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 ht="99.75">
      <c r="A244" s="5" t="s">
        <v>1390</v>
      </c>
      <c r="B244" s="5" t="s">
        <v>1155</v>
      </c>
      <c r="C244" s="5" t="s">
        <v>1355</v>
      </c>
      <c r="D244" s="5" t="s">
        <v>1356</v>
      </c>
      <c r="E244" s="5" t="s">
        <v>1357</v>
      </c>
      <c r="F244" s="5" t="s">
        <v>1391</v>
      </c>
      <c r="G244" s="5" t="s">
        <v>1392</v>
      </c>
      <c r="H244" s="5" t="s">
        <v>1360</v>
      </c>
      <c r="I244" s="5" t="s">
        <v>1330</v>
      </c>
      <c r="J244" s="5" t="s">
        <v>150</v>
      </c>
      <c r="K244" s="5" t="s">
        <v>1163</v>
      </c>
      <c r="L244" s="5" t="s">
        <v>1164</v>
      </c>
      <c r="M244" s="9">
        <v>400</v>
      </c>
      <c r="N244" s="9"/>
      <c r="O244" s="9"/>
      <c r="P244" s="9">
        <v>807</v>
      </c>
      <c r="Q244" s="9">
        <v>115</v>
      </c>
      <c r="R244" s="9"/>
      <c r="S244" s="5"/>
      <c r="T244" s="5" t="s">
        <v>1393</v>
      </c>
      <c r="U244" s="5" t="s">
        <v>110</v>
      </c>
      <c r="V244" s="5" t="s">
        <v>109</v>
      </c>
      <c r="W244" s="5" t="s">
        <v>110</v>
      </c>
      <c r="X244" s="9"/>
      <c r="Y244" s="5" t="s">
        <v>1394</v>
      </c>
      <c r="Z244" s="5" t="s">
        <v>1364</v>
      </c>
      <c r="AA244" s="5" t="s">
        <v>1395</v>
      </c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 ht="128.25">
      <c r="A245" s="5" t="s">
        <v>1396</v>
      </c>
      <c r="B245" s="5" t="s">
        <v>1155</v>
      </c>
      <c r="C245" s="5" t="s">
        <v>1397</v>
      </c>
      <c r="D245" s="5" t="s">
        <v>1398</v>
      </c>
      <c r="E245" s="5" t="s">
        <v>1398</v>
      </c>
      <c r="F245" s="5" t="s">
        <v>1399</v>
      </c>
      <c r="G245" s="5" t="s">
        <v>1400</v>
      </c>
      <c r="H245" s="5" t="s">
        <v>1386</v>
      </c>
      <c r="I245" s="5" t="s">
        <v>1330</v>
      </c>
      <c r="J245" s="5" t="s">
        <v>150</v>
      </c>
      <c r="K245" s="5" t="s">
        <v>1163</v>
      </c>
      <c r="L245" s="5" t="s">
        <v>1164</v>
      </c>
      <c r="M245" s="9">
        <v>1.1000000000000001</v>
      </c>
      <c r="N245" s="9"/>
      <c r="O245" s="9"/>
      <c r="P245" s="9"/>
      <c r="Q245" s="9"/>
      <c r="R245" s="9"/>
      <c r="S245" s="5" t="s">
        <v>1401</v>
      </c>
      <c r="T245" s="5" t="s">
        <v>1402</v>
      </c>
      <c r="U245" s="5" t="s">
        <v>110</v>
      </c>
      <c r="V245" s="5" t="s">
        <v>109</v>
      </c>
      <c r="W245" s="5" t="s">
        <v>110</v>
      </c>
      <c r="X245" s="9"/>
      <c r="Y245" s="5" t="s">
        <v>1403</v>
      </c>
      <c r="Z245" s="5" t="s">
        <v>112</v>
      </c>
      <c r="AA245" s="5" t="s">
        <v>1404</v>
      </c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 ht="128.25">
      <c r="A246" s="5" t="s">
        <v>1405</v>
      </c>
      <c r="B246" s="5" t="s">
        <v>1155</v>
      </c>
      <c r="C246" s="5" t="s">
        <v>1397</v>
      </c>
      <c r="D246" s="5" t="s">
        <v>1398</v>
      </c>
      <c r="E246" s="5" t="s">
        <v>1398</v>
      </c>
      <c r="F246" s="5" t="s">
        <v>1406</v>
      </c>
      <c r="G246" s="5" t="s">
        <v>1407</v>
      </c>
      <c r="H246" s="5" t="s">
        <v>1386</v>
      </c>
      <c r="I246" s="5" t="s">
        <v>1330</v>
      </c>
      <c r="J246" s="5" t="s">
        <v>150</v>
      </c>
      <c r="K246" s="5" t="s">
        <v>1163</v>
      </c>
      <c r="L246" s="5" t="s">
        <v>1164</v>
      </c>
      <c r="M246" s="9">
        <v>1.1000000000000001</v>
      </c>
      <c r="N246" s="9"/>
      <c r="O246" s="9"/>
      <c r="P246" s="9"/>
      <c r="Q246" s="9"/>
      <c r="R246" s="9"/>
      <c r="S246" s="5" t="s">
        <v>1401</v>
      </c>
      <c r="T246" s="5" t="s">
        <v>1408</v>
      </c>
      <c r="U246" s="5" t="s">
        <v>110</v>
      </c>
      <c r="V246" s="5" t="s">
        <v>109</v>
      </c>
      <c r="W246" s="5" t="s">
        <v>110</v>
      </c>
      <c r="X246" s="9"/>
      <c r="Y246" s="5" t="s">
        <v>1403</v>
      </c>
      <c r="Z246" s="5" t="s">
        <v>112</v>
      </c>
      <c r="AA246" s="5" t="s">
        <v>1409</v>
      </c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 ht="128.25">
      <c r="A247" s="5" t="s">
        <v>1410</v>
      </c>
      <c r="B247" s="5" t="s">
        <v>1155</v>
      </c>
      <c r="C247" s="5" t="s">
        <v>1397</v>
      </c>
      <c r="D247" s="5" t="s">
        <v>1398</v>
      </c>
      <c r="E247" s="5" t="s">
        <v>1398</v>
      </c>
      <c r="F247" s="5" t="s">
        <v>1411</v>
      </c>
      <c r="G247" s="5" t="s">
        <v>1412</v>
      </c>
      <c r="H247" s="5" t="s">
        <v>1386</v>
      </c>
      <c r="I247" s="5" t="s">
        <v>1330</v>
      </c>
      <c r="J247" s="5" t="s">
        <v>150</v>
      </c>
      <c r="K247" s="5" t="s">
        <v>1163</v>
      </c>
      <c r="L247" s="5" t="s">
        <v>1164</v>
      </c>
      <c r="M247" s="9">
        <v>1.5</v>
      </c>
      <c r="N247" s="9"/>
      <c r="O247" s="9"/>
      <c r="P247" s="9"/>
      <c r="Q247" s="9"/>
      <c r="R247" s="9"/>
      <c r="S247" s="5" t="s">
        <v>1401</v>
      </c>
      <c r="T247" s="5" t="s">
        <v>1413</v>
      </c>
      <c r="U247" s="5" t="s">
        <v>110</v>
      </c>
      <c r="V247" s="5" t="s">
        <v>109</v>
      </c>
      <c r="W247" s="5" t="s">
        <v>110</v>
      </c>
      <c r="X247" s="9"/>
      <c r="Y247" s="5" t="s">
        <v>1403</v>
      </c>
      <c r="Z247" s="5" t="s">
        <v>112</v>
      </c>
      <c r="AA247" s="5" t="s">
        <v>1414</v>
      </c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 ht="128.25">
      <c r="A248" s="5" t="s">
        <v>1415</v>
      </c>
      <c r="B248" s="5" t="s">
        <v>1155</v>
      </c>
      <c r="C248" s="5" t="s">
        <v>1397</v>
      </c>
      <c r="D248" s="5" t="s">
        <v>1398</v>
      </c>
      <c r="E248" s="5" t="s">
        <v>1398</v>
      </c>
      <c r="F248" s="5" t="s">
        <v>1416</v>
      </c>
      <c r="G248" s="5" t="s">
        <v>1417</v>
      </c>
      <c r="H248" s="5" t="s">
        <v>1386</v>
      </c>
      <c r="I248" s="5" t="s">
        <v>1330</v>
      </c>
      <c r="J248" s="5" t="s">
        <v>150</v>
      </c>
      <c r="K248" s="5" t="s">
        <v>1163</v>
      </c>
      <c r="L248" s="5" t="s">
        <v>1164</v>
      </c>
      <c r="M248" s="9">
        <v>1.5</v>
      </c>
      <c r="N248" s="9"/>
      <c r="O248" s="9"/>
      <c r="P248" s="9"/>
      <c r="Q248" s="9"/>
      <c r="R248" s="9"/>
      <c r="S248" s="5" t="s">
        <v>1401</v>
      </c>
      <c r="T248" s="5" t="s">
        <v>1418</v>
      </c>
      <c r="U248" s="5" t="s">
        <v>110</v>
      </c>
      <c r="V248" s="5" t="s">
        <v>109</v>
      </c>
      <c r="W248" s="5" t="s">
        <v>110</v>
      </c>
      <c r="X248" s="9"/>
      <c r="Y248" s="5" t="s">
        <v>1403</v>
      </c>
      <c r="Z248" s="5" t="s">
        <v>112</v>
      </c>
      <c r="AA248" s="5" t="s">
        <v>1419</v>
      </c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 ht="128.25">
      <c r="A249" s="5" t="s">
        <v>1420</v>
      </c>
      <c r="B249" s="5" t="s">
        <v>1155</v>
      </c>
      <c r="C249" s="5" t="s">
        <v>1397</v>
      </c>
      <c r="D249" s="5" t="s">
        <v>1398</v>
      </c>
      <c r="E249" s="5" t="s">
        <v>1398</v>
      </c>
      <c r="F249" s="5" t="s">
        <v>1421</v>
      </c>
      <c r="G249" s="5" t="s">
        <v>1422</v>
      </c>
      <c r="H249" s="5" t="s">
        <v>1386</v>
      </c>
      <c r="I249" s="5" t="s">
        <v>1330</v>
      </c>
      <c r="J249" s="5" t="s">
        <v>150</v>
      </c>
      <c r="K249" s="5" t="s">
        <v>1163</v>
      </c>
      <c r="L249" s="5" t="s">
        <v>1164</v>
      </c>
      <c r="M249" s="9">
        <v>2.2000000000000002</v>
      </c>
      <c r="N249" s="9"/>
      <c r="O249" s="9"/>
      <c r="P249" s="9"/>
      <c r="Q249" s="9"/>
      <c r="R249" s="9"/>
      <c r="S249" s="5" t="s">
        <v>1401</v>
      </c>
      <c r="T249" s="5" t="s">
        <v>1423</v>
      </c>
      <c r="U249" s="5" t="s">
        <v>110</v>
      </c>
      <c r="V249" s="5" t="s">
        <v>109</v>
      </c>
      <c r="W249" s="5" t="s">
        <v>110</v>
      </c>
      <c r="X249" s="9"/>
      <c r="Y249" s="5" t="s">
        <v>1403</v>
      </c>
      <c r="Z249" s="5" t="s">
        <v>112</v>
      </c>
      <c r="AA249" s="5" t="s">
        <v>1424</v>
      </c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 ht="128.25">
      <c r="A250" s="5" t="s">
        <v>1425</v>
      </c>
      <c r="B250" s="5" t="s">
        <v>1155</v>
      </c>
      <c r="C250" s="5" t="s">
        <v>1397</v>
      </c>
      <c r="D250" s="5" t="s">
        <v>1398</v>
      </c>
      <c r="E250" s="5" t="s">
        <v>1398</v>
      </c>
      <c r="F250" s="5" t="s">
        <v>1426</v>
      </c>
      <c r="G250" s="5" t="s">
        <v>1427</v>
      </c>
      <c r="H250" s="5" t="s">
        <v>1386</v>
      </c>
      <c r="I250" s="5" t="s">
        <v>1330</v>
      </c>
      <c r="J250" s="5" t="s">
        <v>150</v>
      </c>
      <c r="K250" s="5" t="s">
        <v>1163</v>
      </c>
      <c r="L250" s="5" t="s">
        <v>1164</v>
      </c>
      <c r="M250" s="9">
        <v>2.2000000000000002</v>
      </c>
      <c r="N250" s="9"/>
      <c r="O250" s="9"/>
      <c r="P250" s="9"/>
      <c r="Q250" s="9"/>
      <c r="R250" s="9"/>
      <c r="S250" s="5" t="s">
        <v>1401</v>
      </c>
      <c r="T250" s="5" t="s">
        <v>1428</v>
      </c>
      <c r="U250" s="5" t="s">
        <v>110</v>
      </c>
      <c r="V250" s="5" t="s">
        <v>109</v>
      </c>
      <c r="W250" s="5" t="s">
        <v>110</v>
      </c>
      <c r="X250" s="9"/>
      <c r="Y250" s="5" t="s">
        <v>1403</v>
      </c>
      <c r="Z250" s="5" t="s">
        <v>112</v>
      </c>
      <c r="AA250" s="5" t="s">
        <v>1429</v>
      </c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 ht="128.25">
      <c r="A251" s="5" t="s">
        <v>1430</v>
      </c>
      <c r="B251" s="5" t="s">
        <v>1155</v>
      </c>
      <c r="C251" s="5" t="s">
        <v>1397</v>
      </c>
      <c r="D251" s="5" t="s">
        <v>1398</v>
      </c>
      <c r="E251" s="5" t="s">
        <v>1398</v>
      </c>
      <c r="F251" s="5" t="s">
        <v>1431</v>
      </c>
      <c r="G251" s="5" t="s">
        <v>1432</v>
      </c>
      <c r="H251" s="5" t="s">
        <v>1386</v>
      </c>
      <c r="I251" s="5" t="s">
        <v>1330</v>
      </c>
      <c r="J251" s="5" t="s">
        <v>150</v>
      </c>
      <c r="K251" s="5" t="s">
        <v>1163</v>
      </c>
      <c r="L251" s="5" t="s">
        <v>1164</v>
      </c>
      <c r="M251" s="9">
        <v>3</v>
      </c>
      <c r="N251" s="9"/>
      <c r="O251" s="9"/>
      <c r="P251" s="9"/>
      <c r="Q251" s="9"/>
      <c r="R251" s="9"/>
      <c r="S251" s="5" t="s">
        <v>1401</v>
      </c>
      <c r="T251" s="5" t="s">
        <v>1433</v>
      </c>
      <c r="U251" s="5" t="s">
        <v>110</v>
      </c>
      <c r="V251" s="5" t="s">
        <v>109</v>
      </c>
      <c r="W251" s="5" t="s">
        <v>110</v>
      </c>
      <c r="X251" s="9"/>
      <c r="Y251" s="5" t="s">
        <v>1403</v>
      </c>
      <c r="Z251" s="5" t="s">
        <v>112</v>
      </c>
      <c r="AA251" s="5" t="s">
        <v>1434</v>
      </c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 ht="128.25">
      <c r="A252" s="5" t="s">
        <v>1435</v>
      </c>
      <c r="B252" s="5" t="s">
        <v>1155</v>
      </c>
      <c r="C252" s="5" t="s">
        <v>1397</v>
      </c>
      <c r="D252" s="5" t="s">
        <v>1398</v>
      </c>
      <c r="E252" s="5" t="s">
        <v>1398</v>
      </c>
      <c r="F252" s="5" t="s">
        <v>1436</v>
      </c>
      <c r="G252" s="5" t="s">
        <v>1437</v>
      </c>
      <c r="H252" s="5" t="s">
        <v>1386</v>
      </c>
      <c r="I252" s="5" t="s">
        <v>1330</v>
      </c>
      <c r="J252" s="5" t="s">
        <v>150</v>
      </c>
      <c r="K252" s="5" t="s">
        <v>1163</v>
      </c>
      <c r="L252" s="5" t="s">
        <v>1164</v>
      </c>
      <c r="M252" s="9">
        <v>3</v>
      </c>
      <c r="N252" s="9"/>
      <c r="O252" s="9"/>
      <c r="P252" s="9"/>
      <c r="Q252" s="9"/>
      <c r="R252" s="9"/>
      <c r="S252" s="5" t="s">
        <v>1401</v>
      </c>
      <c r="T252" s="5" t="s">
        <v>1438</v>
      </c>
      <c r="U252" s="5" t="s">
        <v>110</v>
      </c>
      <c r="V252" s="5" t="s">
        <v>109</v>
      </c>
      <c r="W252" s="5" t="s">
        <v>110</v>
      </c>
      <c r="X252" s="9"/>
      <c r="Y252" s="5" t="s">
        <v>1403</v>
      </c>
      <c r="Z252" s="5" t="s">
        <v>112</v>
      </c>
      <c r="AA252" s="5" t="s">
        <v>1439</v>
      </c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 ht="128.25">
      <c r="A253" s="5" t="s">
        <v>1440</v>
      </c>
      <c r="B253" s="5" t="s">
        <v>1155</v>
      </c>
      <c r="C253" s="5" t="s">
        <v>1397</v>
      </c>
      <c r="D253" s="5" t="s">
        <v>1398</v>
      </c>
      <c r="E253" s="5" t="s">
        <v>1398</v>
      </c>
      <c r="F253" s="5" t="s">
        <v>1441</v>
      </c>
      <c r="G253" s="5" t="s">
        <v>1442</v>
      </c>
      <c r="H253" s="5" t="s">
        <v>1386</v>
      </c>
      <c r="I253" s="5" t="s">
        <v>1330</v>
      </c>
      <c r="J253" s="5" t="s">
        <v>150</v>
      </c>
      <c r="K253" s="5" t="s">
        <v>1163</v>
      </c>
      <c r="L253" s="5" t="s">
        <v>1164</v>
      </c>
      <c r="M253" s="9">
        <v>4</v>
      </c>
      <c r="N253" s="9"/>
      <c r="O253" s="9"/>
      <c r="P253" s="9"/>
      <c r="Q253" s="9"/>
      <c r="R253" s="9"/>
      <c r="S253" s="5" t="s">
        <v>1401</v>
      </c>
      <c r="T253" s="5" t="s">
        <v>1443</v>
      </c>
      <c r="U253" s="5" t="s">
        <v>110</v>
      </c>
      <c r="V253" s="5" t="s">
        <v>109</v>
      </c>
      <c r="W253" s="5" t="s">
        <v>110</v>
      </c>
      <c r="X253" s="9"/>
      <c r="Y253" s="5" t="s">
        <v>1403</v>
      </c>
      <c r="Z253" s="5" t="s">
        <v>112</v>
      </c>
      <c r="AA253" s="5" t="s">
        <v>1444</v>
      </c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 ht="128.25">
      <c r="A254" s="5" t="s">
        <v>1445</v>
      </c>
      <c r="B254" s="5" t="s">
        <v>1155</v>
      </c>
      <c r="C254" s="5" t="s">
        <v>1397</v>
      </c>
      <c r="D254" s="5" t="s">
        <v>1398</v>
      </c>
      <c r="E254" s="5" t="s">
        <v>1398</v>
      </c>
      <c r="F254" s="5" t="s">
        <v>1446</v>
      </c>
      <c r="G254" s="5" t="s">
        <v>1447</v>
      </c>
      <c r="H254" s="5" t="s">
        <v>1386</v>
      </c>
      <c r="I254" s="5" t="s">
        <v>1330</v>
      </c>
      <c r="J254" s="5" t="s">
        <v>150</v>
      </c>
      <c r="K254" s="5" t="s">
        <v>1163</v>
      </c>
      <c r="L254" s="5" t="s">
        <v>1164</v>
      </c>
      <c r="M254" s="9">
        <v>4</v>
      </c>
      <c r="N254" s="9"/>
      <c r="O254" s="9"/>
      <c r="P254" s="9"/>
      <c r="Q254" s="9"/>
      <c r="R254" s="9"/>
      <c r="S254" s="5" t="s">
        <v>1401</v>
      </c>
      <c r="T254" s="5" t="s">
        <v>1448</v>
      </c>
      <c r="U254" s="5" t="s">
        <v>110</v>
      </c>
      <c r="V254" s="5" t="s">
        <v>109</v>
      </c>
      <c r="W254" s="5" t="s">
        <v>110</v>
      </c>
      <c r="X254" s="9"/>
      <c r="Y254" s="5" t="s">
        <v>1403</v>
      </c>
      <c r="Z254" s="5" t="s">
        <v>112</v>
      </c>
      <c r="AA254" s="5" t="s">
        <v>1449</v>
      </c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 ht="128.25">
      <c r="A255" s="5" t="s">
        <v>1450</v>
      </c>
      <c r="B255" s="5" t="s">
        <v>1155</v>
      </c>
      <c r="C255" s="5" t="s">
        <v>1397</v>
      </c>
      <c r="D255" s="5" t="s">
        <v>1398</v>
      </c>
      <c r="E255" s="5" t="s">
        <v>1398</v>
      </c>
      <c r="F255" s="5" t="s">
        <v>1451</v>
      </c>
      <c r="G255" s="5" t="s">
        <v>1452</v>
      </c>
      <c r="H255" s="5" t="s">
        <v>1386</v>
      </c>
      <c r="I255" s="5" t="s">
        <v>1330</v>
      </c>
      <c r="J255" s="5" t="s">
        <v>150</v>
      </c>
      <c r="K255" s="5" t="s">
        <v>1163</v>
      </c>
      <c r="L255" s="5" t="s">
        <v>1164</v>
      </c>
      <c r="M255" s="9">
        <v>2.2000000000000002</v>
      </c>
      <c r="N255" s="9"/>
      <c r="O255" s="9"/>
      <c r="P255" s="9"/>
      <c r="Q255" s="9"/>
      <c r="R255" s="9"/>
      <c r="S255" s="5" t="s">
        <v>1401</v>
      </c>
      <c r="T255" s="5" t="s">
        <v>1453</v>
      </c>
      <c r="U255" s="5" t="s">
        <v>110</v>
      </c>
      <c r="V255" s="5" t="s">
        <v>109</v>
      </c>
      <c r="W255" s="5" t="s">
        <v>110</v>
      </c>
      <c r="X255" s="9"/>
      <c r="Y255" s="5" t="s">
        <v>1403</v>
      </c>
      <c r="Z255" s="5" t="s">
        <v>112</v>
      </c>
      <c r="AA255" s="5" t="s">
        <v>1454</v>
      </c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 ht="128.25">
      <c r="A256" s="5" t="s">
        <v>1455</v>
      </c>
      <c r="B256" s="5" t="s">
        <v>1155</v>
      </c>
      <c r="C256" s="5" t="s">
        <v>1397</v>
      </c>
      <c r="D256" s="5" t="s">
        <v>1398</v>
      </c>
      <c r="E256" s="5" t="s">
        <v>1398</v>
      </c>
      <c r="F256" s="5" t="s">
        <v>1456</v>
      </c>
      <c r="G256" s="5" t="s">
        <v>1457</v>
      </c>
      <c r="H256" s="5" t="s">
        <v>1386</v>
      </c>
      <c r="I256" s="5" t="s">
        <v>1330</v>
      </c>
      <c r="J256" s="5" t="s">
        <v>150</v>
      </c>
      <c r="K256" s="5" t="s">
        <v>1163</v>
      </c>
      <c r="L256" s="5" t="s">
        <v>1164</v>
      </c>
      <c r="M256" s="9">
        <v>2.2000000000000002</v>
      </c>
      <c r="N256" s="9"/>
      <c r="O256" s="9"/>
      <c r="P256" s="9"/>
      <c r="Q256" s="9"/>
      <c r="R256" s="9"/>
      <c r="S256" s="5" t="s">
        <v>1401</v>
      </c>
      <c r="T256" s="5" t="s">
        <v>1458</v>
      </c>
      <c r="U256" s="5" t="s">
        <v>110</v>
      </c>
      <c r="V256" s="5" t="s">
        <v>109</v>
      </c>
      <c r="W256" s="5" t="s">
        <v>110</v>
      </c>
      <c r="X256" s="9"/>
      <c r="Y256" s="5" t="s">
        <v>1403</v>
      </c>
      <c r="Z256" s="5" t="s">
        <v>112</v>
      </c>
      <c r="AA256" s="5" t="s">
        <v>1459</v>
      </c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 ht="128.25">
      <c r="A257" s="5" t="s">
        <v>1460</v>
      </c>
      <c r="B257" s="5" t="s">
        <v>1155</v>
      </c>
      <c r="C257" s="5" t="s">
        <v>1397</v>
      </c>
      <c r="D257" s="5" t="s">
        <v>1398</v>
      </c>
      <c r="E257" s="5" t="s">
        <v>1398</v>
      </c>
      <c r="F257" s="5" t="s">
        <v>1461</v>
      </c>
      <c r="G257" s="5" t="s">
        <v>1462</v>
      </c>
      <c r="H257" s="5" t="s">
        <v>1386</v>
      </c>
      <c r="I257" s="5" t="s">
        <v>1330</v>
      </c>
      <c r="J257" s="5" t="s">
        <v>150</v>
      </c>
      <c r="K257" s="5" t="s">
        <v>1163</v>
      </c>
      <c r="L257" s="5" t="s">
        <v>1164</v>
      </c>
      <c r="M257" s="9">
        <v>3</v>
      </c>
      <c r="N257" s="9"/>
      <c r="O257" s="9"/>
      <c r="P257" s="9"/>
      <c r="Q257" s="9"/>
      <c r="R257" s="9"/>
      <c r="S257" s="5" t="s">
        <v>1401</v>
      </c>
      <c r="T257" s="5" t="s">
        <v>1463</v>
      </c>
      <c r="U257" s="5" t="s">
        <v>110</v>
      </c>
      <c r="V257" s="5" t="s">
        <v>109</v>
      </c>
      <c r="W257" s="5" t="s">
        <v>110</v>
      </c>
      <c r="X257" s="9"/>
      <c r="Y257" s="5" t="s">
        <v>1403</v>
      </c>
      <c r="Z257" s="5" t="s">
        <v>112</v>
      </c>
      <c r="AA257" s="5" t="s">
        <v>1464</v>
      </c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 ht="128.25">
      <c r="A258" s="5" t="s">
        <v>1465</v>
      </c>
      <c r="B258" s="5" t="s">
        <v>1155</v>
      </c>
      <c r="C258" s="5" t="s">
        <v>1397</v>
      </c>
      <c r="D258" s="5" t="s">
        <v>1398</v>
      </c>
      <c r="E258" s="5" t="s">
        <v>1398</v>
      </c>
      <c r="F258" s="5" t="s">
        <v>1466</v>
      </c>
      <c r="G258" s="5" t="s">
        <v>1467</v>
      </c>
      <c r="H258" s="5" t="s">
        <v>1386</v>
      </c>
      <c r="I258" s="5" t="s">
        <v>1330</v>
      </c>
      <c r="J258" s="5" t="s">
        <v>150</v>
      </c>
      <c r="K258" s="5" t="s">
        <v>1163</v>
      </c>
      <c r="L258" s="5" t="s">
        <v>1164</v>
      </c>
      <c r="M258" s="9">
        <v>3</v>
      </c>
      <c r="N258" s="9"/>
      <c r="O258" s="9"/>
      <c r="P258" s="9"/>
      <c r="Q258" s="9"/>
      <c r="R258" s="9"/>
      <c r="S258" s="5" t="s">
        <v>1401</v>
      </c>
      <c r="T258" s="5" t="s">
        <v>1468</v>
      </c>
      <c r="U258" s="5" t="s">
        <v>110</v>
      </c>
      <c r="V258" s="5" t="s">
        <v>109</v>
      </c>
      <c r="W258" s="5" t="s">
        <v>110</v>
      </c>
      <c r="X258" s="9"/>
      <c r="Y258" s="5" t="s">
        <v>1403</v>
      </c>
      <c r="Z258" s="5" t="s">
        <v>112</v>
      </c>
      <c r="AA258" s="5" t="s">
        <v>1469</v>
      </c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 ht="128.25">
      <c r="A259" s="5" t="s">
        <v>1470</v>
      </c>
      <c r="B259" s="5" t="s">
        <v>1155</v>
      </c>
      <c r="C259" s="5" t="s">
        <v>1397</v>
      </c>
      <c r="D259" s="5" t="s">
        <v>1398</v>
      </c>
      <c r="E259" s="5" t="s">
        <v>1398</v>
      </c>
      <c r="F259" s="5" t="s">
        <v>1471</v>
      </c>
      <c r="G259" s="5" t="s">
        <v>1472</v>
      </c>
      <c r="H259" s="5" t="s">
        <v>1386</v>
      </c>
      <c r="I259" s="5" t="s">
        <v>1330</v>
      </c>
      <c r="J259" s="5" t="s">
        <v>150</v>
      </c>
      <c r="K259" s="5" t="s">
        <v>1163</v>
      </c>
      <c r="L259" s="5" t="s">
        <v>1164</v>
      </c>
      <c r="M259" s="9">
        <v>4</v>
      </c>
      <c r="N259" s="9"/>
      <c r="O259" s="9"/>
      <c r="P259" s="9"/>
      <c r="Q259" s="9"/>
      <c r="R259" s="9"/>
      <c r="S259" s="5" t="s">
        <v>1401</v>
      </c>
      <c r="T259" s="5" t="s">
        <v>1473</v>
      </c>
      <c r="U259" s="5" t="s">
        <v>110</v>
      </c>
      <c r="V259" s="5" t="s">
        <v>109</v>
      </c>
      <c r="W259" s="5" t="s">
        <v>110</v>
      </c>
      <c r="X259" s="9"/>
      <c r="Y259" s="5" t="s">
        <v>1403</v>
      </c>
      <c r="Z259" s="5" t="s">
        <v>112</v>
      </c>
      <c r="AA259" s="5" t="s">
        <v>1474</v>
      </c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 ht="128.25">
      <c r="A260" s="5" t="s">
        <v>1475</v>
      </c>
      <c r="B260" s="5" t="s">
        <v>1155</v>
      </c>
      <c r="C260" s="5" t="s">
        <v>1397</v>
      </c>
      <c r="D260" s="5" t="s">
        <v>1398</v>
      </c>
      <c r="E260" s="5" t="s">
        <v>1398</v>
      </c>
      <c r="F260" s="5" t="s">
        <v>1476</v>
      </c>
      <c r="G260" s="5" t="s">
        <v>1477</v>
      </c>
      <c r="H260" s="5" t="s">
        <v>1386</v>
      </c>
      <c r="I260" s="5" t="s">
        <v>1330</v>
      </c>
      <c r="J260" s="5" t="s">
        <v>150</v>
      </c>
      <c r="K260" s="5" t="s">
        <v>1163</v>
      </c>
      <c r="L260" s="5" t="s">
        <v>1164</v>
      </c>
      <c r="M260" s="9">
        <v>4</v>
      </c>
      <c r="N260" s="9"/>
      <c r="O260" s="9"/>
      <c r="P260" s="9"/>
      <c r="Q260" s="9"/>
      <c r="R260" s="9"/>
      <c r="S260" s="5" t="s">
        <v>1401</v>
      </c>
      <c r="T260" s="5" t="s">
        <v>1478</v>
      </c>
      <c r="U260" s="5" t="s">
        <v>110</v>
      </c>
      <c r="V260" s="5" t="s">
        <v>109</v>
      </c>
      <c r="W260" s="5" t="s">
        <v>110</v>
      </c>
      <c r="X260" s="9"/>
      <c r="Y260" s="5" t="s">
        <v>1403</v>
      </c>
      <c r="Z260" s="5" t="s">
        <v>112</v>
      </c>
      <c r="AA260" s="5" t="s">
        <v>1479</v>
      </c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 ht="128.25">
      <c r="A261" s="5" t="s">
        <v>1480</v>
      </c>
      <c r="B261" s="5" t="s">
        <v>1155</v>
      </c>
      <c r="C261" s="5" t="s">
        <v>1397</v>
      </c>
      <c r="D261" s="5" t="s">
        <v>1398</v>
      </c>
      <c r="E261" s="5" t="s">
        <v>1398</v>
      </c>
      <c r="F261" s="5" t="s">
        <v>1481</v>
      </c>
      <c r="G261" s="5" t="s">
        <v>1482</v>
      </c>
      <c r="H261" s="5" t="s">
        <v>1386</v>
      </c>
      <c r="I261" s="5" t="s">
        <v>1330</v>
      </c>
      <c r="J261" s="5" t="s">
        <v>150</v>
      </c>
      <c r="K261" s="5" t="s">
        <v>1163</v>
      </c>
      <c r="L261" s="5" t="s">
        <v>1164</v>
      </c>
      <c r="M261" s="9">
        <v>5.5</v>
      </c>
      <c r="N261" s="9"/>
      <c r="O261" s="9"/>
      <c r="P261" s="9"/>
      <c r="Q261" s="9"/>
      <c r="R261" s="9"/>
      <c r="S261" s="5" t="s">
        <v>1401</v>
      </c>
      <c r="T261" s="5" t="s">
        <v>1483</v>
      </c>
      <c r="U261" s="5" t="s">
        <v>110</v>
      </c>
      <c r="V261" s="5" t="s">
        <v>109</v>
      </c>
      <c r="W261" s="5" t="s">
        <v>110</v>
      </c>
      <c r="X261" s="9"/>
      <c r="Y261" s="5" t="s">
        <v>1403</v>
      </c>
      <c r="Z261" s="5" t="s">
        <v>112</v>
      </c>
      <c r="AA261" s="5" t="s">
        <v>1484</v>
      </c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 ht="128.25">
      <c r="A262" s="5" t="s">
        <v>1485</v>
      </c>
      <c r="B262" s="5" t="s">
        <v>1155</v>
      </c>
      <c r="C262" s="5" t="s">
        <v>1397</v>
      </c>
      <c r="D262" s="5" t="s">
        <v>1398</v>
      </c>
      <c r="E262" s="5" t="s">
        <v>1398</v>
      </c>
      <c r="F262" s="5" t="s">
        <v>1486</v>
      </c>
      <c r="G262" s="5" t="s">
        <v>1487</v>
      </c>
      <c r="H262" s="5" t="s">
        <v>1386</v>
      </c>
      <c r="I262" s="5" t="s">
        <v>1330</v>
      </c>
      <c r="J262" s="5" t="s">
        <v>150</v>
      </c>
      <c r="K262" s="5" t="s">
        <v>1163</v>
      </c>
      <c r="L262" s="5" t="s">
        <v>1164</v>
      </c>
      <c r="M262" s="9">
        <v>11</v>
      </c>
      <c r="N262" s="9"/>
      <c r="O262" s="9"/>
      <c r="P262" s="9"/>
      <c r="Q262" s="9"/>
      <c r="R262" s="9"/>
      <c r="S262" s="5" t="s">
        <v>1401</v>
      </c>
      <c r="T262" s="5" t="s">
        <v>1488</v>
      </c>
      <c r="U262" s="5" t="s">
        <v>110</v>
      </c>
      <c r="V262" s="5" t="s">
        <v>109</v>
      </c>
      <c r="W262" s="5" t="s">
        <v>110</v>
      </c>
      <c r="X262" s="9"/>
      <c r="Y262" s="5" t="s">
        <v>1489</v>
      </c>
      <c r="Z262" s="5" t="s">
        <v>112</v>
      </c>
      <c r="AA262" s="5" t="s">
        <v>1490</v>
      </c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 ht="128.25">
      <c r="A263" s="5" t="s">
        <v>1491</v>
      </c>
      <c r="B263" s="5" t="s">
        <v>1155</v>
      </c>
      <c r="C263" s="5" t="s">
        <v>1397</v>
      </c>
      <c r="D263" s="5" t="s">
        <v>1398</v>
      </c>
      <c r="E263" s="5" t="s">
        <v>1398</v>
      </c>
      <c r="F263" s="5" t="s">
        <v>1492</v>
      </c>
      <c r="G263" s="5" t="s">
        <v>1493</v>
      </c>
      <c r="H263" s="5" t="s">
        <v>1386</v>
      </c>
      <c r="I263" s="5" t="s">
        <v>1330</v>
      </c>
      <c r="J263" s="5" t="s">
        <v>150</v>
      </c>
      <c r="K263" s="5" t="s">
        <v>1163</v>
      </c>
      <c r="L263" s="5" t="s">
        <v>1164</v>
      </c>
      <c r="M263" s="9">
        <v>11</v>
      </c>
      <c r="N263" s="9"/>
      <c r="O263" s="9"/>
      <c r="P263" s="9"/>
      <c r="Q263" s="9"/>
      <c r="R263" s="9"/>
      <c r="S263" s="5" t="s">
        <v>1401</v>
      </c>
      <c r="T263" s="5" t="s">
        <v>1494</v>
      </c>
      <c r="U263" s="5" t="s">
        <v>110</v>
      </c>
      <c r="V263" s="5" t="s">
        <v>109</v>
      </c>
      <c r="W263" s="5" t="s">
        <v>110</v>
      </c>
      <c r="X263" s="9"/>
      <c r="Y263" s="5" t="s">
        <v>1495</v>
      </c>
      <c r="Z263" s="5" t="s">
        <v>112</v>
      </c>
      <c r="AA263" s="5" t="s">
        <v>1496</v>
      </c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 ht="128.25">
      <c r="A264" s="5" t="s">
        <v>1497</v>
      </c>
      <c r="B264" s="5" t="s">
        <v>1155</v>
      </c>
      <c r="C264" s="5" t="s">
        <v>1397</v>
      </c>
      <c r="D264" s="5" t="s">
        <v>1398</v>
      </c>
      <c r="E264" s="5" t="s">
        <v>1398</v>
      </c>
      <c r="F264" s="5" t="s">
        <v>1498</v>
      </c>
      <c r="G264" s="5" t="s">
        <v>1499</v>
      </c>
      <c r="H264" s="5" t="s">
        <v>1386</v>
      </c>
      <c r="I264" s="5" t="s">
        <v>1330</v>
      </c>
      <c r="J264" s="5" t="s">
        <v>150</v>
      </c>
      <c r="K264" s="5" t="s">
        <v>1163</v>
      </c>
      <c r="L264" s="5" t="s">
        <v>1164</v>
      </c>
      <c r="M264" s="9">
        <v>22</v>
      </c>
      <c r="N264" s="9"/>
      <c r="O264" s="9"/>
      <c r="P264" s="9"/>
      <c r="Q264" s="9"/>
      <c r="R264" s="9"/>
      <c r="S264" s="5" t="s">
        <v>1401</v>
      </c>
      <c r="T264" s="5" t="s">
        <v>1500</v>
      </c>
      <c r="U264" s="5" t="s">
        <v>110</v>
      </c>
      <c r="V264" s="5" t="s">
        <v>109</v>
      </c>
      <c r="W264" s="5" t="s">
        <v>110</v>
      </c>
      <c r="X264" s="9"/>
      <c r="Y264" s="5" t="s">
        <v>1501</v>
      </c>
      <c r="Z264" s="5" t="s">
        <v>112</v>
      </c>
      <c r="AA264" s="5" t="s">
        <v>1502</v>
      </c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 ht="128.25">
      <c r="A265" s="5" t="s">
        <v>1503</v>
      </c>
      <c r="B265" s="5" t="s">
        <v>1155</v>
      </c>
      <c r="C265" s="5" t="s">
        <v>1397</v>
      </c>
      <c r="D265" s="5" t="s">
        <v>1398</v>
      </c>
      <c r="E265" s="5" t="s">
        <v>1398</v>
      </c>
      <c r="F265" s="5" t="s">
        <v>1504</v>
      </c>
      <c r="G265" s="5" t="s">
        <v>1505</v>
      </c>
      <c r="H265" s="5" t="s">
        <v>1386</v>
      </c>
      <c r="I265" s="5" t="s">
        <v>1330</v>
      </c>
      <c r="J265" s="5" t="s">
        <v>150</v>
      </c>
      <c r="K265" s="5" t="s">
        <v>1163</v>
      </c>
      <c r="L265" s="5" t="s">
        <v>1164</v>
      </c>
      <c r="M265" s="9">
        <v>30</v>
      </c>
      <c r="N265" s="9"/>
      <c r="O265" s="9"/>
      <c r="P265" s="9"/>
      <c r="Q265" s="9"/>
      <c r="R265" s="9"/>
      <c r="S265" s="5" t="s">
        <v>1401</v>
      </c>
      <c r="T265" s="5" t="s">
        <v>1506</v>
      </c>
      <c r="U265" s="5" t="s">
        <v>110</v>
      </c>
      <c r="V265" s="5" t="s">
        <v>109</v>
      </c>
      <c r="W265" s="5" t="s">
        <v>110</v>
      </c>
      <c r="X265" s="9"/>
      <c r="Y265" s="5" t="s">
        <v>1507</v>
      </c>
      <c r="Z265" s="5" t="s">
        <v>112</v>
      </c>
      <c r="AA265" s="5" t="s">
        <v>1508</v>
      </c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 ht="128.25">
      <c r="A266" s="5" t="s">
        <v>1509</v>
      </c>
      <c r="B266" s="5" t="s">
        <v>1155</v>
      </c>
      <c r="C266" s="5" t="s">
        <v>1397</v>
      </c>
      <c r="D266" s="5" t="s">
        <v>1398</v>
      </c>
      <c r="E266" s="5" t="s">
        <v>1398</v>
      </c>
      <c r="F266" s="5" t="s">
        <v>1510</v>
      </c>
      <c r="G266" s="5" t="s">
        <v>1511</v>
      </c>
      <c r="H266" s="5" t="s">
        <v>1386</v>
      </c>
      <c r="I266" s="5" t="s">
        <v>1330</v>
      </c>
      <c r="J266" s="5" t="s">
        <v>150</v>
      </c>
      <c r="K266" s="5" t="s">
        <v>1163</v>
      </c>
      <c r="L266" s="5" t="s">
        <v>1164</v>
      </c>
      <c r="M266" s="9">
        <v>45</v>
      </c>
      <c r="N266" s="9"/>
      <c r="O266" s="9"/>
      <c r="P266" s="9"/>
      <c r="Q266" s="9"/>
      <c r="R266" s="9"/>
      <c r="S266" s="5" t="s">
        <v>1401</v>
      </c>
      <c r="T266" s="5" t="s">
        <v>1512</v>
      </c>
      <c r="U266" s="5" t="s">
        <v>110</v>
      </c>
      <c r="V266" s="5" t="s">
        <v>109</v>
      </c>
      <c r="W266" s="5" t="s">
        <v>110</v>
      </c>
      <c r="X266" s="9"/>
      <c r="Y266" s="5" t="s">
        <v>1513</v>
      </c>
      <c r="Z266" s="5" t="s">
        <v>112</v>
      </c>
      <c r="AA266" s="5" t="s">
        <v>1514</v>
      </c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 ht="128.25">
      <c r="A267" s="5" t="s">
        <v>1515</v>
      </c>
      <c r="B267" s="5" t="s">
        <v>1155</v>
      </c>
      <c r="C267" s="5" t="s">
        <v>1397</v>
      </c>
      <c r="D267" s="5" t="s">
        <v>1398</v>
      </c>
      <c r="E267" s="5" t="s">
        <v>1398</v>
      </c>
      <c r="F267" s="5" t="s">
        <v>1516</v>
      </c>
      <c r="G267" s="5" t="s">
        <v>1517</v>
      </c>
      <c r="H267" s="5" t="s">
        <v>1386</v>
      </c>
      <c r="I267" s="5" t="s">
        <v>1330</v>
      </c>
      <c r="J267" s="5" t="s">
        <v>150</v>
      </c>
      <c r="K267" s="5" t="s">
        <v>1163</v>
      </c>
      <c r="L267" s="5" t="s">
        <v>1164</v>
      </c>
      <c r="M267" s="9">
        <v>55</v>
      </c>
      <c r="N267" s="9"/>
      <c r="O267" s="9"/>
      <c r="P267" s="9"/>
      <c r="Q267" s="9"/>
      <c r="R267" s="9"/>
      <c r="S267" s="5" t="s">
        <v>1401</v>
      </c>
      <c r="T267" s="5" t="s">
        <v>1518</v>
      </c>
      <c r="U267" s="5" t="s">
        <v>110</v>
      </c>
      <c r="V267" s="5" t="s">
        <v>109</v>
      </c>
      <c r="W267" s="5" t="s">
        <v>110</v>
      </c>
      <c r="X267" s="9"/>
      <c r="Y267" s="5" t="s">
        <v>1519</v>
      </c>
      <c r="Z267" s="5" t="s">
        <v>112</v>
      </c>
      <c r="AA267" s="5" t="s">
        <v>1520</v>
      </c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 ht="128.25">
      <c r="A268" s="5" t="s">
        <v>1521</v>
      </c>
      <c r="B268" s="5" t="s">
        <v>1155</v>
      </c>
      <c r="C268" s="5" t="s">
        <v>1397</v>
      </c>
      <c r="D268" s="5" t="s">
        <v>1398</v>
      </c>
      <c r="E268" s="5" t="s">
        <v>1398</v>
      </c>
      <c r="F268" s="5" t="s">
        <v>1522</v>
      </c>
      <c r="G268" s="5" t="s">
        <v>1523</v>
      </c>
      <c r="H268" s="5" t="s">
        <v>1386</v>
      </c>
      <c r="I268" s="5" t="s">
        <v>1330</v>
      </c>
      <c r="J268" s="5" t="s">
        <v>150</v>
      </c>
      <c r="K268" s="5" t="s">
        <v>1163</v>
      </c>
      <c r="L268" s="5" t="s">
        <v>1164</v>
      </c>
      <c r="M268" s="9">
        <v>75</v>
      </c>
      <c r="N268" s="9"/>
      <c r="O268" s="9"/>
      <c r="P268" s="9"/>
      <c r="Q268" s="9"/>
      <c r="R268" s="9"/>
      <c r="S268" s="5" t="s">
        <v>1401</v>
      </c>
      <c r="T268" s="5" t="s">
        <v>1524</v>
      </c>
      <c r="U268" s="5" t="s">
        <v>110</v>
      </c>
      <c r="V268" s="5" t="s">
        <v>109</v>
      </c>
      <c r="W268" s="5" t="s">
        <v>110</v>
      </c>
      <c r="X268" s="9"/>
      <c r="Y268" s="5" t="s">
        <v>1525</v>
      </c>
      <c r="Z268" s="5" t="s">
        <v>112</v>
      </c>
      <c r="AA268" s="5" t="s">
        <v>1526</v>
      </c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 ht="128.25">
      <c r="A269" s="5" t="s">
        <v>1527</v>
      </c>
      <c r="B269" s="5" t="s">
        <v>1155</v>
      </c>
      <c r="C269" s="5" t="s">
        <v>1397</v>
      </c>
      <c r="D269" s="5" t="s">
        <v>1398</v>
      </c>
      <c r="E269" s="5" t="s">
        <v>1398</v>
      </c>
      <c r="F269" s="5" t="s">
        <v>1528</v>
      </c>
      <c r="G269" s="5" t="s">
        <v>1529</v>
      </c>
      <c r="H269" s="5" t="s">
        <v>1386</v>
      </c>
      <c r="I269" s="5" t="s">
        <v>1330</v>
      </c>
      <c r="J269" s="5" t="s">
        <v>150</v>
      </c>
      <c r="K269" s="5" t="s">
        <v>1163</v>
      </c>
      <c r="L269" s="5" t="s">
        <v>1164</v>
      </c>
      <c r="M269" s="9">
        <v>90</v>
      </c>
      <c r="N269" s="9"/>
      <c r="O269" s="9"/>
      <c r="P269" s="9"/>
      <c r="Q269" s="9"/>
      <c r="R269" s="9"/>
      <c r="S269" s="5" t="s">
        <v>1401</v>
      </c>
      <c r="T269" s="5" t="s">
        <v>1530</v>
      </c>
      <c r="U269" s="5" t="s">
        <v>110</v>
      </c>
      <c r="V269" s="5" t="s">
        <v>109</v>
      </c>
      <c r="W269" s="5" t="s">
        <v>110</v>
      </c>
      <c r="X269" s="9"/>
      <c r="Y269" s="5" t="s">
        <v>1531</v>
      </c>
      <c r="Z269" s="5" t="s">
        <v>112</v>
      </c>
      <c r="AA269" s="5" t="s">
        <v>1532</v>
      </c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 ht="99.75">
      <c r="A270" s="5" t="s">
        <v>1533</v>
      </c>
      <c r="B270" s="5" t="s">
        <v>1155</v>
      </c>
      <c r="C270" s="5" t="s">
        <v>564</v>
      </c>
      <c r="D270" s="5" t="s">
        <v>565</v>
      </c>
      <c r="E270" s="5" t="s">
        <v>1534</v>
      </c>
      <c r="F270" s="5" t="s">
        <v>1535</v>
      </c>
      <c r="G270" s="5" t="s">
        <v>1536</v>
      </c>
      <c r="H270" s="5" t="s">
        <v>102</v>
      </c>
      <c r="I270" s="5" t="s">
        <v>103</v>
      </c>
      <c r="J270" s="5" t="s">
        <v>150</v>
      </c>
      <c r="K270" s="5" t="s">
        <v>105</v>
      </c>
      <c r="L270" s="5" t="s">
        <v>568</v>
      </c>
      <c r="M270" s="9">
        <v>3.7280000000000002</v>
      </c>
      <c r="N270" s="9"/>
      <c r="O270" s="9"/>
      <c r="P270" s="9">
        <v>2.2709999999999999</v>
      </c>
      <c r="Q270" s="9"/>
      <c r="R270" s="9"/>
      <c r="S270" s="5" t="s">
        <v>1537</v>
      </c>
      <c r="T270" s="5" t="s">
        <v>1538</v>
      </c>
      <c r="U270" s="5" t="s">
        <v>109</v>
      </c>
      <c r="V270" s="5" t="s">
        <v>109</v>
      </c>
      <c r="W270" s="5" t="s">
        <v>110</v>
      </c>
      <c r="X270" s="9"/>
      <c r="Y270" s="5" t="s">
        <v>571</v>
      </c>
      <c r="Z270" s="5" t="s">
        <v>112</v>
      </c>
      <c r="AA270" s="5" t="s">
        <v>1539</v>
      </c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 ht="99.75">
      <c r="A271" s="5" t="s">
        <v>1540</v>
      </c>
      <c r="B271" s="5" t="s">
        <v>1155</v>
      </c>
      <c r="C271" s="5" t="s">
        <v>564</v>
      </c>
      <c r="D271" s="5" t="s">
        <v>565</v>
      </c>
      <c r="E271" s="5" t="s">
        <v>1534</v>
      </c>
      <c r="F271" s="5" t="s">
        <v>1541</v>
      </c>
      <c r="G271" s="5" t="s">
        <v>1542</v>
      </c>
      <c r="H271" s="5" t="s">
        <v>102</v>
      </c>
      <c r="I271" s="5" t="s">
        <v>103</v>
      </c>
      <c r="J271" s="5" t="s">
        <v>150</v>
      </c>
      <c r="K271" s="5" t="s">
        <v>105</v>
      </c>
      <c r="L271" s="5" t="s">
        <v>568</v>
      </c>
      <c r="M271" s="9">
        <v>3.7280000000000002</v>
      </c>
      <c r="N271" s="9"/>
      <c r="O271" s="9"/>
      <c r="P271" s="9">
        <v>3.407</v>
      </c>
      <c r="Q271" s="9"/>
      <c r="R271" s="9"/>
      <c r="S271" s="5" t="s">
        <v>1537</v>
      </c>
      <c r="T271" s="5" t="s">
        <v>1543</v>
      </c>
      <c r="U271" s="5" t="s">
        <v>109</v>
      </c>
      <c r="V271" s="5" t="s">
        <v>109</v>
      </c>
      <c r="W271" s="5" t="s">
        <v>110</v>
      </c>
      <c r="X271" s="9"/>
      <c r="Y271" s="5" t="s">
        <v>571</v>
      </c>
      <c r="Z271" s="5" t="s">
        <v>112</v>
      </c>
      <c r="AA271" s="5" t="s">
        <v>1544</v>
      </c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 ht="99.75">
      <c r="A272" s="5" t="s">
        <v>1545</v>
      </c>
      <c r="B272" s="5" t="s">
        <v>1155</v>
      </c>
      <c r="C272" s="5" t="s">
        <v>564</v>
      </c>
      <c r="D272" s="5" t="s">
        <v>565</v>
      </c>
      <c r="E272" s="5" t="s">
        <v>1534</v>
      </c>
      <c r="F272" s="5" t="s">
        <v>1546</v>
      </c>
      <c r="G272" s="5" t="s">
        <v>1547</v>
      </c>
      <c r="H272" s="5" t="s">
        <v>102</v>
      </c>
      <c r="I272" s="5" t="s">
        <v>103</v>
      </c>
      <c r="J272" s="5" t="s">
        <v>150</v>
      </c>
      <c r="K272" s="5" t="s">
        <v>105</v>
      </c>
      <c r="L272" s="5" t="s">
        <v>568</v>
      </c>
      <c r="M272" s="9">
        <v>3.7280000000000002</v>
      </c>
      <c r="N272" s="9"/>
      <c r="O272" s="9"/>
      <c r="P272" s="9">
        <v>5.6779999999999999</v>
      </c>
      <c r="Q272" s="9"/>
      <c r="R272" s="9"/>
      <c r="S272" s="5" t="s">
        <v>1537</v>
      </c>
      <c r="T272" s="5" t="s">
        <v>1548</v>
      </c>
      <c r="U272" s="5" t="s">
        <v>109</v>
      </c>
      <c r="V272" s="5" t="s">
        <v>109</v>
      </c>
      <c r="W272" s="5" t="s">
        <v>110</v>
      </c>
      <c r="X272" s="9"/>
      <c r="Y272" s="5" t="s">
        <v>571</v>
      </c>
      <c r="Z272" s="5" t="s">
        <v>112</v>
      </c>
      <c r="AA272" s="5" t="s">
        <v>1549</v>
      </c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 ht="99.75">
      <c r="A273" s="5" t="s">
        <v>1550</v>
      </c>
      <c r="B273" s="5" t="s">
        <v>1155</v>
      </c>
      <c r="C273" s="5" t="s">
        <v>564</v>
      </c>
      <c r="D273" s="5" t="s">
        <v>565</v>
      </c>
      <c r="E273" s="5" t="s">
        <v>1534</v>
      </c>
      <c r="F273" s="5" t="s">
        <v>1551</v>
      </c>
      <c r="G273" s="5" t="s">
        <v>1552</v>
      </c>
      <c r="H273" s="5" t="s">
        <v>102</v>
      </c>
      <c r="I273" s="5" t="s">
        <v>103</v>
      </c>
      <c r="J273" s="5" t="s">
        <v>150</v>
      </c>
      <c r="K273" s="5" t="s">
        <v>105</v>
      </c>
      <c r="L273" s="5" t="s">
        <v>568</v>
      </c>
      <c r="M273" s="9">
        <v>3.7280000000000002</v>
      </c>
      <c r="N273" s="9"/>
      <c r="O273" s="9"/>
      <c r="P273" s="9">
        <v>7.9489999999999998</v>
      </c>
      <c r="Q273" s="9"/>
      <c r="R273" s="9"/>
      <c r="S273" s="5" t="s">
        <v>1537</v>
      </c>
      <c r="T273" s="5" t="s">
        <v>1553</v>
      </c>
      <c r="U273" s="5" t="s">
        <v>109</v>
      </c>
      <c r="V273" s="5" t="s">
        <v>109</v>
      </c>
      <c r="W273" s="5" t="s">
        <v>110</v>
      </c>
      <c r="X273" s="9"/>
      <c r="Y273" s="5" t="s">
        <v>571</v>
      </c>
      <c r="Z273" s="5" t="s">
        <v>112</v>
      </c>
      <c r="AA273" s="5" t="s">
        <v>1554</v>
      </c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 ht="99.75">
      <c r="A274" s="5" t="s">
        <v>1555</v>
      </c>
      <c r="B274" s="5" t="s">
        <v>1155</v>
      </c>
      <c r="C274" s="5" t="s">
        <v>564</v>
      </c>
      <c r="D274" s="5" t="s">
        <v>565</v>
      </c>
      <c r="E274" s="5" t="s">
        <v>1534</v>
      </c>
      <c r="F274" s="5" t="s">
        <v>1556</v>
      </c>
      <c r="G274" s="5" t="s">
        <v>1557</v>
      </c>
      <c r="H274" s="5" t="s">
        <v>102</v>
      </c>
      <c r="I274" s="5" t="s">
        <v>103</v>
      </c>
      <c r="J274" s="5" t="s">
        <v>150</v>
      </c>
      <c r="K274" s="5" t="s">
        <v>105</v>
      </c>
      <c r="L274" s="5" t="s">
        <v>568</v>
      </c>
      <c r="M274" s="9">
        <v>3.7280000000000002</v>
      </c>
      <c r="N274" s="9"/>
      <c r="O274" s="9"/>
      <c r="P274" s="9">
        <v>10.221</v>
      </c>
      <c r="Q274" s="9"/>
      <c r="R274" s="9"/>
      <c r="S274" s="5" t="s">
        <v>1537</v>
      </c>
      <c r="T274" s="5" t="s">
        <v>1558</v>
      </c>
      <c r="U274" s="5" t="s">
        <v>109</v>
      </c>
      <c r="V274" s="5" t="s">
        <v>109</v>
      </c>
      <c r="W274" s="5" t="s">
        <v>110</v>
      </c>
      <c r="X274" s="9"/>
      <c r="Y274" s="5" t="s">
        <v>571</v>
      </c>
      <c r="Z274" s="5" t="s">
        <v>112</v>
      </c>
      <c r="AA274" s="5" t="s">
        <v>1559</v>
      </c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 ht="99.75">
      <c r="A275" s="5" t="s">
        <v>1560</v>
      </c>
      <c r="B275" s="5" t="s">
        <v>1155</v>
      </c>
      <c r="C275" s="5" t="s">
        <v>564</v>
      </c>
      <c r="D275" s="5" t="s">
        <v>565</v>
      </c>
      <c r="E275" s="5" t="s">
        <v>1534</v>
      </c>
      <c r="F275" s="5" t="s">
        <v>1561</v>
      </c>
      <c r="G275" s="5" t="s">
        <v>1562</v>
      </c>
      <c r="H275" s="5" t="s">
        <v>102</v>
      </c>
      <c r="I275" s="5" t="s">
        <v>103</v>
      </c>
      <c r="J275" s="5" t="s">
        <v>150</v>
      </c>
      <c r="K275" s="5" t="s">
        <v>105</v>
      </c>
      <c r="L275" s="5" t="s">
        <v>568</v>
      </c>
      <c r="M275" s="9">
        <v>3.7280000000000002</v>
      </c>
      <c r="N275" s="9"/>
      <c r="O275" s="9"/>
      <c r="P275" s="9">
        <v>13.627000000000001</v>
      </c>
      <c r="Q275" s="9"/>
      <c r="R275" s="9"/>
      <c r="S275" s="5" t="s">
        <v>1537</v>
      </c>
      <c r="T275" s="5" t="s">
        <v>1563</v>
      </c>
      <c r="U275" s="5" t="s">
        <v>109</v>
      </c>
      <c r="V275" s="5" t="s">
        <v>109</v>
      </c>
      <c r="W275" s="5" t="s">
        <v>110</v>
      </c>
      <c r="X275" s="9"/>
      <c r="Y275" s="5" t="s">
        <v>571</v>
      </c>
      <c r="Z275" s="5" t="s">
        <v>112</v>
      </c>
      <c r="AA275" s="5" t="s">
        <v>1564</v>
      </c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 ht="99.75">
      <c r="A276" s="5" t="s">
        <v>1565</v>
      </c>
      <c r="B276" s="5" t="s">
        <v>1155</v>
      </c>
      <c r="C276" s="5" t="s">
        <v>564</v>
      </c>
      <c r="D276" s="5" t="s">
        <v>565</v>
      </c>
      <c r="E276" s="5" t="s">
        <v>1534</v>
      </c>
      <c r="F276" s="5" t="s">
        <v>1566</v>
      </c>
      <c r="G276" s="5" t="s">
        <v>1567</v>
      </c>
      <c r="H276" s="5" t="s">
        <v>102</v>
      </c>
      <c r="I276" s="5" t="s">
        <v>103</v>
      </c>
      <c r="J276" s="5" t="s">
        <v>150</v>
      </c>
      <c r="K276" s="5" t="s">
        <v>105</v>
      </c>
      <c r="L276" s="5" t="s">
        <v>568</v>
      </c>
      <c r="M276" s="9">
        <v>3.7280000000000002</v>
      </c>
      <c r="N276" s="9"/>
      <c r="O276" s="9"/>
      <c r="P276" s="9">
        <v>20.440999999999999</v>
      </c>
      <c r="Q276" s="9"/>
      <c r="R276" s="9"/>
      <c r="S276" s="5" t="s">
        <v>1537</v>
      </c>
      <c r="T276" s="5" t="s">
        <v>1568</v>
      </c>
      <c r="U276" s="5" t="s">
        <v>109</v>
      </c>
      <c r="V276" s="5" t="s">
        <v>109</v>
      </c>
      <c r="W276" s="5" t="s">
        <v>110</v>
      </c>
      <c r="X276" s="9"/>
      <c r="Y276" s="5" t="s">
        <v>571</v>
      </c>
      <c r="Z276" s="5" t="s">
        <v>112</v>
      </c>
      <c r="AA276" s="5" t="s">
        <v>1569</v>
      </c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 ht="99.75">
      <c r="A277" s="5" t="s">
        <v>1570</v>
      </c>
      <c r="B277" s="5" t="s">
        <v>1155</v>
      </c>
      <c r="C277" s="5" t="s">
        <v>564</v>
      </c>
      <c r="D277" s="5" t="s">
        <v>565</v>
      </c>
      <c r="E277" s="5" t="s">
        <v>1534</v>
      </c>
      <c r="F277" s="5" t="s">
        <v>1571</v>
      </c>
      <c r="G277" s="5" t="s">
        <v>1572</v>
      </c>
      <c r="H277" s="5" t="s">
        <v>102</v>
      </c>
      <c r="I277" s="5" t="s">
        <v>103</v>
      </c>
      <c r="J277" s="5" t="s">
        <v>150</v>
      </c>
      <c r="K277" s="5" t="s">
        <v>105</v>
      </c>
      <c r="L277" s="5" t="s">
        <v>568</v>
      </c>
      <c r="M277" s="9">
        <v>3.7280000000000002</v>
      </c>
      <c r="N277" s="9"/>
      <c r="O277" s="9"/>
      <c r="P277" s="9">
        <v>22.712</v>
      </c>
      <c r="Q277" s="9"/>
      <c r="R277" s="9"/>
      <c r="S277" s="5" t="s">
        <v>1537</v>
      </c>
      <c r="T277" s="5" t="s">
        <v>1573</v>
      </c>
      <c r="U277" s="5" t="s">
        <v>109</v>
      </c>
      <c r="V277" s="5" t="s">
        <v>109</v>
      </c>
      <c r="W277" s="5" t="s">
        <v>110</v>
      </c>
      <c r="X277" s="9"/>
      <c r="Y277" s="5" t="s">
        <v>571</v>
      </c>
      <c r="Z277" s="5" t="s">
        <v>112</v>
      </c>
      <c r="AA277" s="5" t="s">
        <v>1574</v>
      </c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 ht="99.75">
      <c r="A278" s="5" t="s">
        <v>1575</v>
      </c>
      <c r="B278" s="5" t="s">
        <v>1155</v>
      </c>
      <c r="C278" s="5" t="s">
        <v>564</v>
      </c>
      <c r="D278" s="5" t="s">
        <v>565</v>
      </c>
      <c r="E278" s="5" t="s">
        <v>1534</v>
      </c>
      <c r="F278" s="5" t="s">
        <v>1576</v>
      </c>
      <c r="G278" s="5" t="s">
        <v>1577</v>
      </c>
      <c r="H278" s="5" t="s">
        <v>102</v>
      </c>
      <c r="I278" s="5" t="s">
        <v>103</v>
      </c>
      <c r="J278" s="5" t="s">
        <v>150</v>
      </c>
      <c r="K278" s="5" t="s">
        <v>105</v>
      </c>
      <c r="L278" s="5" t="s">
        <v>568</v>
      </c>
      <c r="M278" s="9">
        <v>3.7280000000000002</v>
      </c>
      <c r="N278" s="9"/>
      <c r="O278" s="9"/>
      <c r="P278" s="9">
        <v>28.390999999999998</v>
      </c>
      <c r="Q278" s="9"/>
      <c r="R278" s="9"/>
      <c r="S278" s="5" t="s">
        <v>1537</v>
      </c>
      <c r="T278" s="5" t="s">
        <v>1578</v>
      </c>
      <c r="U278" s="5" t="s">
        <v>109</v>
      </c>
      <c r="V278" s="5" t="s">
        <v>109</v>
      </c>
      <c r="W278" s="5" t="s">
        <v>110</v>
      </c>
      <c r="X278" s="9"/>
      <c r="Y278" s="5" t="s">
        <v>571</v>
      </c>
      <c r="Z278" s="5" t="s">
        <v>112</v>
      </c>
      <c r="AA278" s="5" t="s">
        <v>1579</v>
      </c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 ht="99.75">
      <c r="A279" s="5" t="s">
        <v>1580</v>
      </c>
      <c r="B279" s="5" t="s">
        <v>1155</v>
      </c>
      <c r="C279" s="5" t="s">
        <v>564</v>
      </c>
      <c r="D279" s="5" t="s">
        <v>565</v>
      </c>
      <c r="E279" s="5" t="s">
        <v>1534</v>
      </c>
      <c r="F279" s="5" t="s">
        <v>1581</v>
      </c>
      <c r="G279" s="5" t="s">
        <v>1582</v>
      </c>
      <c r="H279" s="5" t="s">
        <v>102</v>
      </c>
      <c r="I279" s="5" t="s">
        <v>103</v>
      </c>
      <c r="J279" s="5" t="s">
        <v>150</v>
      </c>
      <c r="K279" s="5" t="s">
        <v>105</v>
      </c>
      <c r="L279" s="5" t="s">
        <v>568</v>
      </c>
      <c r="M279" s="9">
        <v>3.7280000000000002</v>
      </c>
      <c r="N279" s="9"/>
      <c r="O279" s="9"/>
      <c r="P279" s="9">
        <v>34.069000000000003</v>
      </c>
      <c r="Q279" s="9"/>
      <c r="R279" s="9"/>
      <c r="S279" s="5" t="s">
        <v>1537</v>
      </c>
      <c r="T279" s="5" t="s">
        <v>1583</v>
      </c>
      <c r="U279" s="5" t="s">
        <v>109</v>
      </c>
      <c r="V279" s="5" t="s">
        <v>109</v>
      </c>
      <c r="W279" s="5" t="s">
        <v>110</v>
      </c>
      <c r="X279" s="9"/>
      <c r="Y279" s="5" t="s">
        <v>571</v>
      </c>
      <c r="Z279" s="5" t="s">
        <v>112</v>
      </c>
      <c r="AA279" s="5" t="s">
        <v>1584</v>
      </c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 ht="99.75">
      <c r="A280" s="5" t="s">
        <v>1585</v>
      </c>
      <c r="B280" s="5" t="s">
        <v>1155</v>
      </c>
      <c r="C280" s="5" t="s">
        <v>564</v>
      </c>
      <c r="D280" s="5" t="s">
        <v>565</v>
      </c>
      <c r="E280" s="5" t="s">
        <v>1534</v>
      </c>
      <c r="F280" s="5" t="s">
        <v>1586</v>
      </c>
      <c r="G280" s="5" t="s">
        <v>1587</v>
      </c>
      <c r="H280" s="5" t="s">
        <v>102</v>
      </c>
      <c r="I280" s="5" t="s">
        <v>103</v>
      </c>
      <c r="J280" s="5" t="s">
        <v>150</v>
      </c>
      <c r="K280" s="5" t="s">
        <v>105</v>
      </c>
      <c r="L280" s="5" t="s">
        <v>568</v>
      </c>
      <c r="M280" s="9">
        <v>3.7280000000000002</v>
      </c>
      <c r="N280" s="9"/>
      <c r="O280" s="9"/>
      <c r="P280" s="9">
        <v>40.881999999999998</v>
      </c>
      <c r="Q280" s="9"/>
      <c r="R280" s="9"/>
      <c r="S280" s="5" t="s">
        <v>1537</v>
      </c>
      <c r="T280" s="5" t="s">
        <v>1588</v>
      </c>
      <c r="U280" s="5" t="s">
        <v>109</v>
      </c>
      <c r="V280" s="5" t="s">
        <v>109</v>
      </c>
      <c r="W280" s="5" t="s">
        <v>110</v>
      </c>
      <c r="X280" s="9"/>
      <c r="Y280" s="5" t="s">
        <v>571</v>
      </c>
      <c r="Z280" s="5" t="s">
        <v>112</v>
      </c>
      <c r="AA280" s="5" t="s">
        <v>1589</v>
      </c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 ht="99.75">
      <c r="A281" s="5" t="s">
        <v>1590</v>
      </c>
      <c r="B281" s="5" t="s">
        <v>1155</v>
      </c>
      <c r="C281" s="5" t="s">
        <v>564</v>
      </c>
      <c r="D281" s="5" t="s">
        <v>565</v>
      </c>
      <c r="E281" s="5" t="s">
        <v>1534</v>
      </c>
      <c r="F281" s="5" t="s">
        <v>1591</v>
      </c>
      <c r="G281" s="5" t="s">
        <v>1592</v>
      </c>
      <c r="H281" s="5" t="s">
        <v>102</v>
      </c>
      <c r="I281" s="5" t="s">
        <v>103</v>
      </c>
      <c r="J281" s="5" t="s">
        <v>150</v>
      </c>
      <c r="K281" s="5" t="s">
        <v>105</v>
      </c>
      <c r="L281" s="5" t="s">
        <v>568</v>
      </c>
      <c r="M281" s="9">
        <v>3.7280000000000002</v>
      </c>
      <c r="N281" s="9"/>
      <c r="O281" s="9"/>
      <c r="P281" s="9">
        <v>49.966999999999999</v>
      </c>
      <c r="Q281" s="9"/>
      <c r="R281" s="9"/>
      <c r="S281" s="5" t="s">
        <v>1537</v>
      </c>
      <c r="T281" s="5" t="s">
        <v>1593</v>
      </c>
      <c r="U281" s="5" t="s">
        <v>109</v>
      </c>
      <c r="V281" s="5" t="s">
        <v>109</v>
      </c>
      <c r="W281" s="5" t="s">
        <v>110</v>
      </c>
      <c r="X281" s="9"/>
      <c r="Y281" s="5" t="s">
        <v>571</v>
      </c>
      <c r="Z281" s="5" t="s">
        <v>112</v>
      </c>
      <c r="AA281" s="5" t="s">
        <v>1594</v>
      </c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 ht="99.75">
      <c r="A282" s="5" t="s">
        <v>1595</v>
      </c>
      <c r="B282" s="5" t="s">
        <v>1155</v>
      </c>
      <c r="C282" s="5" t="s">
        <v>564</v>
      </c>
      <c r="D282" s="5" t="s">
        <v>565</v>
      </c>
      <c r="E282" s="5" t="s">
        <v>1534</v>
      </c>
      <c r="F282" s="5" t="s">
        <v>1596</v>
      </c>
      <c r="G282" s="5" t="s">
        <v>1597</v>
      </c>
      <c r="H282" s="5" t="s">
        <v>102</v>
      </c>
      <c r="I282" s="5" t="s">
        <v>103</v>
      </c>
      <c r="J282" s="5" t="s">
        <v>150</v>
      </c>
      <c r="K282" s="5" t="s">
        <v>105</v>
      </c>
      <c r="L282" s="5" t="s">
        <v>568</v>
      </c>
      <c r="M282" s="9">
        <v>3.7280000000000002</v>
      </c>
      <c r="N282" s="9"/>
      <c r="O282" s="9"/>
      <c r="P282" s="9">
        <v>62.459000000000003</v>
      </c>
      <c r="Q282" s="9"/>
      <c r="R282" s="9"/>
      <c r="S282" s="5" t="s">
        <v>1537</v>
      </c>
      <c r="T282" s="5" t="s">
        <v>1598</v>
      </c>
      <c r="U282" s="5" t="s">
        <v>109</v>
      </c>
      <c r="V282" s="5" t="s">
        <v>109</v>
      </c>
      <c r="W282" s="5" t="s">
        <v>110</v>
      </c>
      <c r="X282" s="9"/>
      <c r="Y282" s="5" t="s">
        <v>571</v>
      </c>
      <c r="Z282" s="5" t="s">
        <v>112</v>
      </c>
      <c r="AA282" s="5" t="s">
        <v>1599</v>
      </c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 ht="99.75">
      <c r="A283" s="5" t="s">
        <v>1600</v>
      </c>
      <c r="B283" s="5" t="s">
        <v>1155</v>
      </c>
      <c r="C283" s="5" t="s">
        <v>564</v>
      </c>
      <c r="D283" s="5" t="s">
        <v>565</v>
      </c>
      <c r="E283" s="5" t="s">
        <v>1534</v>
      </c>
      <c r="F283" s="5" t="s">
        <v>1601</v>
      </c>
      <c r="G283" s="5" t="s">
        <v>1602</v>
      </c>
      <c r="H283" s="5" t="s">
        <v>102</v>
      </c>
      <c r="I283" s="5" t="s">
        <v>103</v>
      </c>
      <c r="J283" s="5" t="s">
        <v>150</v>
      </c>
      <c r="K283" s="5" t="s">
        <v>105</v>
      </c>
      <c r="L283" s="5" t="s">
        <v>568</v>
      </c>
      <c r="M283" s="9">
        <v>3.7280000000000002</v>
      </c>
      <c r="N283" s="9"/>
      <c r="O283" s="9"/>
      <c r="P283" s="9">
        <v>73.816000000000003</v>
      </c>
      <c r="Q283" s="9"/>
      <c r="R283" s="9"/>
      <c r="S283" s="5" t="s">
        <v>1537</v>
      </c>
      <c r="T283" s="5" t="s">
        <v>1603</v>
      </c>
      <c r="U283" s="5" t="s">
        <v>109</v>
      </c>
      <c r="V283" s="5" t="s">
        <v>109</v>
      </c>
      <c r="W283" s="5" t="s">
        <v>110</v>
      </c>
      <c r="X283" s="9"/>
      <c r="Y283" s="5" t="s">
        <v>571</v>
      </c>
      <c r="Z283" s="5" t="s">
        <v>112</v>
      </c>
      <c r="AA283" s="5" t="s">
        <v>1604</v>
      </c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 ht="99.75">
      <c r="A284" s="5" t="s">
        <v>1605</v>
      </c>
      <c r="B284" s="5" t="s">
        <v>1155</v>
      </c>
      <c r="C284" s="5" t="s">
        <v>564</v>
      </c>
      <c r="D284" s="5" t="s">
        <v>565</v>
      </c>
      <c r="E284" s="5" t="s">
        <v>1534</v>
      </c>
      <c r="F284" s="5" t="s">
        <v>1606</v>
      </c>
      <c r="G284" s="5" t="s">
        <v>1607</v>
      </c>
      <c r="H284" s="5" t="s">
        <v>102</v>
      </c>
      <c r="I284" s="5" t="s">
        <v>103</v>
      </c>
      <c r="J284" s="5" t="s">
        <v>150</v>
      </c>
      <c r="K284" s="5" t="s">
        <v>105</v>
      </c>
      <c r="L284" s="5" t="s">
        <v>568</v>
      </c>
      <c r="M284" s="9">
        <v>3.7280000000000002</v>
      </c>
      <c r="N284" s="9"/>
      <c r="O284" s="9"/>
      <c r="P284" s="9">
        <v>85.171999999999997</v>
      </c>
      <c r="Q284" s="9"/>
      <c r="R284" s="9"/>
      <c r="S284" s="5" t="s">
        <v>1537</v>
      </c>
      <c r="T284" s="5" t="s">
        <v>1608</v>
      </c>
      <c r="U284" s="5" t="s">
        <v>109</v>
      </c>
      <c r="V284" s="5" t="s">
        <v>109</v>
      </c>
      <c r="W284" s="5" t="s">
        <v>110</v>
      </c>
      <c r="X284" s="9"/>
      <c r="Y284" s="5" t="s">
        <v>571</v>
      </c>
      <c r="Z284" s="5" t="s">
        <v>112</v>
      </c>
      <c r="AA284" s="5" t="s">
        <v>1609</v>
      </c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 ht="99.75">
      <c r="A285" s="5" t="s">
        <v>1610</v>
      </c>
      <c r="B285" s="5" t="s">
        <v>1155</v>
      </c>
      <c r="C285" s="5" t="s">
        <v>564</v>
      </c>
      <c r="D285" s="5" t="s">
        <v>565</v>
      </c>
      <c r="E285" s="5" t="s">
        <v>1534</v>
      </c>
      <c r="F285" s="5" t="s">
        <v>1611</v>
      </c>
      <c r="G285" s="5" t="s">
        <v>1612</v>
      </c>
      <c r="H285" s="5" t="s">
        <v>102</v>
      </c>
      <c r="I285" s="5" t="s">
        <v>103</v>
      </c>
      <c r="J285" s="5" t="s">
        <v>150</v>
      </c>
      <c r="K285" s="5" t="s">
        <v>105</v>
      </c>
      <c r="L285" s="5" t="s">
        <v>568</v>
      </c>
      <c r="M285" s="9">
        <v>5.593</v>
      </c>
      <c r="N285" s="9"/>
      <c r="O285" s="9"/>
      <c r="P285" s="9">
        <v>4.5419999999999998</v>
      </c>
      <c r="Q285" s="9"/>
      <c r="R285" s="9"/>
      <c r="S285" s="5" t="s">
        <v>1613</v>
      </c>
      <c r="T285" s="5" t="s">
        <v>1614</v>
      </c>
      <c r="U285" s="5" t="s">
        <v>109</v>
      </c>
      <c r="V285" s="5" t="s">
        <v>109</v>
      </c>
      <c r="W285" s="5" t="s">
        <v>110</v>
      </c>
      <c r="X285" s="9"/>
      <c r="Y285" s="5" t="s">
        <v>571</v>
      </c>
      <c r="Z285" s="5" t="s">
        <v>112</v>
      </c>
      <c r="AA285" s="5" t="s">
        <v>1615</v>
      </c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 ht="99.75">
      <c r="A286" s="5" t="s">
        <v>1616</v>
      </c>
      <c r="B286" s="5" t="s">
        <v>1155</v>
      </c>
      <c r="C286" s="5" t="s">
        <v>564</v>
      </c>
      <c r="D286" s="5" t="s">
        <v>565</v>
      </c>
      <c r="E286" s="5" t="s">
        <v>1534</v>
      </c>
      <c r="F286" s="5" t="s">
        <v>1617</v>
      </c>
      <c r="G286" s="5" t="s">
        <v>1618</v>
      </c>
      <c r="H286" s="5" t="s">
        <v>102</v>
      </c>
      <c r="I286" s="5" t="s">
        <v>103</v>
      </c>
      <c r="J286" s="5" t="s">
        <v>150</v>
      </c>
      <c r="K286" s="5" t="s">
        <v>105</v>
      </c>
      <c r="L286" s="5" t="s">
        <v>568</v>
      </c>
      <c r="M286" s="9">
        <v>5.593</v>
      </c>
      <c r="N286" s="9"/>
      <c r="O286" s="9"/>
      <c r="P286" s="9">
        <v>5.6779999999999999</v>
      </c>
      <c r="Q286" s="9"/>
      <c r="R286" s="9"/>
      <c r="S286" s="5" t="s">
        <v>1613</v>
      </c>
      <c r="T286" s="5" t="s">
        <v>1619</v>
      </c>
      <c r="U286" s="5" t="s">
        <v>109</v>
      </c>
      <c r="V286" s="5" t="s">
        <v>109</v>
      </c>
      <c r="W286" s="5" t="s">
        <v>110</v>
      </c>
      <c r="X286" s="9"/>
      <c r="Y286" s="5" t="s">
        <v>571</v>
      </c>
      <c r="Z286" s="5" t="s">
        <v>112</v>
      </c>
      <c r="AA286" s="5" t="s">
        <v>1620</v>
      </c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 ht="99.75">
      <c r="A287" s="5" t="s">
        <v>1621</v>
      </c>
      <c r="B287" s="5" t="s">
        <v>1155</v>
      </c>
      <c r="C287" s="5" t="s">
        <v>564</v>
      </c>
      <c r="D287" s="5" t="s">
        <v>565</v>
      </c>
      <c r="E287" s="5" t="s">
        <v>1534</v>
      </c>
      <c r="F287" s="5" t="s">
        <v>1622</v>
      </c>
      <c r="G287" s="5" t="s">
        <v>1623</v>
      </c>
      <c r="H287" s="5" t="s">
        <v>102</v>
      </c>
      <c r="I287" s="5" t="s">
        <v>103</v>
      </c>
      <c r="J287" s="5" t="s">
        <v>150</v>
      </c>
      <c r="K287" s="5" t="s">
        <v>105</v>
      </c>
      <c r="L287" s="5" t="s">
        <v>568</v>
      </c>
      <c r="M287" s="9">
        <v>5.593</v>
      </c>
      <c r="N287" s="9"/>
      <c r="O287" s="9"/>
      <c r="P287" s="9">
        <v>7.9489999999999998</v>
      </c>
      <c r="Q287" s="9"/>
      <c r="R287" s="9"/>
      <c r="S287" s="5" t="s">
        <v>1613</v>
      </c>
      <c r="T287" s="5" t="s">
        <v>1624</v>
      </c>
      <c r="U287" s="5" t="s">
        <v>109</v>
      </c>
      <c r="V287" s="5" t="s">
        <v>109</v>
      </c>
      <c r="W287" s="5" t="s">
        <v>110</v>
      </c>
      <c r="X287" s="9"/>
      <c r="Y287" s="5" t="s">
        <v>571</v>
      </c>
      <c r="Z287" s="5" t="s">
        <v>112</v>
      </c>
      <c r="AA287" s="5" t="s">
        <v>1625</v>
      </c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 ht="99.75">
      <c r="A288" s="5" t="s">
        <v>1626</v>
      </c>
      <c r="B288" s="5" t="s">
        <v>1155</v>
      </c>
      <c r="C288" s="5" t="s">
        <v>564</v>
      </c>
      <c r="D288" s="5" t="s">
        <v>565</v>
      </c>
      <c r="E288" s="5" t="s">
        <v>1534</v>
      </c>
      <c r="F288" s="5" t="s">
        <v>1627</v>
      </c>
      <c r="G288" s="5" t="s">
        <v>1628</v>
      </c>
      <c r="H288" s="5" t="s">
        <v>102</v>
      </c>
      <c r="I288" s="5" t="s">
        <v>103</v>
      </c>
      <c r="J288" s="5" t="s">
        <v>150</v>
      </c>
      <c r="K288" s="5" t="s">
        <v>105</v>
      </c>
      <c r="L288" s="5" t="s">
        <v>568</v>
      </c>
      <c r="M288" s="9">
        <v>5.593</v>
      </c>
      <c r="N288" s="9"/>
      <c r="O288" s="9"/>
      <c r="P288" s="9">
        <v>10.221</v>
      </c>
      <c r="Q288" s="9"/>
      <c r="R288" s="9"/>
      <c r="S288" s="5" t="s">
        <v>1613</v>
      </c>
      <c r="T288" s="5" t="s">
        <v>1629</v>
      </c>
      <c r="U288" s="5" t="s">
        <v>109</v>
      </c>
      <c r="V288" s="5" t="s">
        <v>109</v>
      </c>
      <c r="W288" s="5" t="s">
        <v>110</v>
      </c>
      <c r="X288" s="9"/>
      <c r="Y288" s="5" t="s">
        <v>571</v>
      </c>
      <c r="Z288" s="5" t="s">
        <v>112</v>
      </c>
      <c r="AA288" s="5" t="s">
        <v>1630</v>
      </c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 ht="99.75">
      <c r="A289" s="5" t="s">
        <v>1631</v>
      </c>
      <c r="B289" s="5" t="s">
        <v>1155</v>
      </c>
      <c r="C289" s="5" t="s">
        <v>564</v>
      </c>
      <c r="D289" s="5" t="s">
        <v>565</v>
      </c>
      <c r="E289" s="5" t="s">
        <v>1534</v>
      </c>
      <c r="F289" s="5" t="s">
        <v>1632</v>
      </c>
      <c r="G289" s="5" t="s">
        <v>1633</v>
      </c>
      <c r="H289" s="5" t="s">
        <v>102</v>
      </c>
      <c r="I289" s="5" t="s">
        <v>103</v>
      </c>
      <c r="J289" s="5" t="s">
        <v>150</v>
      </c>
      <c r="K289" s="5" t="s">
        <v>105</v>
      </c>
      <c r="L289" s="5" t="s">
        <v>568</v>
      </c>
      <c r="M289" s="9">
        <v>5.593</v>
      </c>
      <c r="N289" s="9"/>
      <c r="O289" s="9"/>
      <c r="P289" s="9">
        <v>13.627000000000001</v>
      </c>
      <c r="Q289" s="9"/>
      <c r="R289" s="9"/>
      <c r="S289" s="5" t="s">
        <v>1613</v>
      </c>
      <c r="T289" s="5" t="s">
        <v>1634</v>
      </c>
      <c r="U289" s="5" t="s">
        <v>109</v>
      </c>
      <c r="V289" s="5" t="s">
        <v>109</v>
      </c>
      <c r="W289" s="5" t="s">
        <v>110</v>
      </c>
      <c r="X289" s="9"/>
      <c r="Y289" s="5" t="s">
        <v>571</v>
      </c>
      <c r="Z289" s="5" t="s">
        <v>112</v>
      </c>
      <c r="AA289" s="5" t="s">
        <v>1635</v>
      </c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 ht="99.75">
      <c r="A290" s="5" t="s">
        <v>1636</v>
      </c>
      <c r="B290" s="5" t="s">
        <v>1155</v>
      </c>
      <c r="C290" s="5" t="s">
        <v>564</v>
      </c>
      <c r="D290" s="5" t="s">
        <v>565</v>
      </c>
      <c r="E290" s="5" t="s">
        <v>1534</v>
      </c>
      <c r="F290" s="5" t="s">
        <v>1637</v>
      </c>
      <c r="G290" s="5" t="s">
        <v>1638</v>
      </c>
      <c r="H290" s="5" t="s">
        <v>102</v>
      </c>
      <c r="I290" s="5" t="s">
        <v>103</v>
      </c>
      <c r="J290" s="5" t="s">
        <v>150</v>
      </c>
      <c r="K290" s="5" t="s">
        <v>105</v>
      </c>
      <c r="L290" s="5" t="s">
        <v>568</v>
      </c>
      <c r="M290" s="9">
        <v>5.593</v>
      </c>
      <c r="N290" s="9"/>
      <c r="O290" s="9"/>
      <c r="P290" s="9">
        <v>20.440999999999999</v>
      </c>
      <c r="Q290" s="9"/>
      <c r="R290" s="9"/>
      <c r="S290" s="5" t="s">
        <v>1613</v>
      </c>
      <c r="T290" s="5" t="s">
        <v>1639</v>
      </c>
      <c r="U290" s="5" t="s">
        <v>109</v>
      </c>
      <c r="V290" s="5" t="s">
        <v>109</v>
      </c>
      <c r="W290" s="5" t="s">
        <v>110</v>
      </c>
      <c r="X290" s="9"/>
      <c r="Y290" s="5" t="s">
        <v>571</v>
      </c>
      <c r="Z290" s="5" t="s">
        <v>112</v>
      </c>
      <c r="AA290" s="5" t="s">
        <v>1640</v>
      </c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 ht="99.75">
      <c r="A291" s="5" t="s">
        <v>1641</v>
      </c>
      <c r="B291" s="5" t="s">
        <v>1155</v>
      </c>
      <c r="C291" s="5" t="s">
        <v>564</v>
      </c>
      <c r="D291" s="5" t="s">
        <v>565</v>
      </c>
      <c r="E291" s="5" t="s">
        <v>1534</v>
      </c>
      <c r="F291" s="5" t="s">
        <v>1642</v>
      </c>
      <c r="G291" s="5" t="s">
        <v>1643</v>
      </c>
      <c r="H291" s="5" t="s">
        <v>102</v>
      </c>
      <c r="I291" s="5" t="s">
        <v>103</v>
      </c>
      <c r="J291" s="5" t="s">
        <v>150</v>
      </c>
      <c r="K291" s="5" t="s">
        <v>105</v>
      </c>
      <c r="L291" s="5" t="s">
        <v>568</v>
      </c>
      <c r="M291" s="9">
        <v>5.593</v>
      </c>
      <c r="N291" s="9"/>
      <c r="O291" s="9"/>
      <c r="P291" s="9">
        <v>22.712</v>
      </c>
      <c r="Q291" s="9"/>
      <c r="R291" s="9"/>
      <c r="S291" s="5" t="s">
        <v>1613</v>
      </c>
      <c r="T291" s="5" t="s">
        <v>1644</v>
      </c>
      <c r="U291" s="5" t="s">
        <v>109</v>
      </c>
      <c r="V291" s="5" t="s">
        <v>109</v>
      </c>
      <c r="W291" s="5" t="s">
        <v>110</v>
      </c>
      <c r="X291" s="9"/>
      <c r="Y291" s="5" t="s">
        <v>571</v>
      </c>
      <c r="Z291" s="5" t="s">
        <v>112</v>
      </c>
      <c r="AA291" s="5" t="s">
        <v>1645</v>
      </c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 ht="99.75">
      <c r="A292" s="5" t="s">
        <v>1646</v>
      </c>
      <c r="B292" s="5" t="s">
        <v>1155</v>
      </c>
      <c r="C292" s="5" t="s">
        <v>564</v>
      </c>
      <c r="D292" s="5" t="s">
        <v>565</v>
      </c>
      <c r="E292" s="5" t="s">
        <v>1534</v>
      </c>
      <c r="F292" s="5" t="s">
        <v>1647</v>
      </c>
      <c r="G292" s="5" t="s">
        <v>1648</v>
      </c>
      <c r="H292" s="5" t="s">
        <v>102</v>
      </c>
      <c r="I292" s="5" t="s">
        <v>103</v>
      </c>
      <c r="J292" s="5" t="s">
        <v>150</v>
      </c>
      <c r="K292" s="5" t="s">
        <v>105</v>
      </c>
      <c r="L292" s="5" t="s">
        <v>568</v>
      </c>
      <c r="M292" s="9">
        <v>5.593</v>
      </c>
      <c r="N292" s="9"/>
      <c r="O292" s="9"/>
      <c r="P292" s="9">
        <v>28.390999999999998</v>
      </c>
      <c r="Q292" s="9"/>
      <c r="R292" s="9"/>
      <c r="S292" s="5" t="s">
        <v>1613</v>
      </c>
      <c r="T292" s="5" t="s">
        <v>1649</v>
      </c>
      <c r="U292" s="5" t="s">
        <v>109</v>
      </c>
      <c r="V292" s="5" t="s">
        <v>109</v>
      </c>
      <c r="W292" s="5" t="s">
        <v>110</v>
      </c>
      <c r="X292" s="9"/>
      <c r="Y292" s="5" t="s">
        <v>571</v>
      </c>
      <c r="Z292" s="5" t="s">
        <v>112</v>
      </c>
      <c r="AA292" s="5" t="s">
        <v>1650</v>
      </c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 ht="99.75">
      <c r="A293" s="5" t="s">
        <v>1651</v>
      </c>
      <c r="B293" s="5" t="s">
        <v>1155</v>
      </c>
      <c r="C293" s="5" t="s">
        <v>564</v>
      </c>
      <c r="D293" s="5" t="s">
        <v>565</v>
      </c>
      <c r="E293" s="5" t="s">
        <v>1534</v>
      </c>
      <c r="F293" s="5" t="s">
        <v>1652</v>
      </c>
      <c r="G293" s="5" t="s">
        <v>1653</v>
      </c>
      <c r="H293" s="5" t="s">
        <v>102</v>
      </c>
      <c r="I293" s="5" t="s">
        <v>103</v>
      </c>
      <c r="J293" s="5" t="s">
        <v>150</v>
      </c>
      <c r="K293" s="5" t="s">
        <v>105</v>
      </c>
      <c r="L293" s="5" t="s">
        <v>568</v>
      </c>
      <c r="M293" s="9">
        <v>5.593</v>
      </c>
      <c r="N293" s="9"/>
      <c r="O293" s="9"/>
      <c r="P293" s="9">
        <v>34.069000000000003</v>
      </c>
      <c r="Q293" s="9"/>
      <c r="R293" s="9"/>
      <c r="S293" s="5" t="s">
        <v>1613</v>
      </c>
      <c r="T293" s="5" t="s">
        <v>1654</v>
      </c>
      <c r="U293" s="5" t="s">
        <v>109</v>
      </c>
      <c r="V293" s="5" t="s">
        <v>109</v>
      </c>
      <c r="W293" s="5" t="s">
        <v>110</v>
      </c>
      <c r="X293" s="9"/>
      <c r="Y293" s="5" t="s">
        <v>571</v>
      </c>
      <c r="Z293" s="5" t="s">
        <v>112</v>
      </c>
      <c r="AA293" s="5" t="s">
        <v>1655</v>
      </c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 ht="99.75">
      <c r="A294" s="5" t="s">
        <v>1656</v>
      </c>
      <c r="B294" s="5" t="s">
        <v>1155</v>
      </c>
      <c r="C294" s="5" t="s">
        <v>564</v>
      </c>
      <c r="D294" s="5" t="s">
        <v>565</v>
      </c>
      <c r="E294" s="5" t="s">
        <v>1534</v>
      </c>
      <c r="F294" s="5" t="s">
        <v>1657</v>
      </c>
      <c r="G294" s="5" t="s">
        <v>1658</v>
      </c>
      <c r="H294" s="5" t="s">
        <v>102</v>
      </c>
      <c r="I294" s="5" t="s">
        <v>103</v>
      </c>
      <c r="J294" s="5" t="s">
        <v>150</v>
      </c>
      <c r="K294" s="5" t="s">
        <v>105</v>
      </c>
      <c r="L294" s="5" t="s">
        <v>568</v>
      </c>
      <c r="M294" s="9">
        <v>5.593</v>
      </c>
      <c r="N294" s="9"/>
      <c r="O294" s="9"/>
      <c r="P294" s="9">
        <v>40.881999999999998</v>
      </c>
      <c r="Q294" s="9"/>
      <c r="R294" s="9"/>
      <c r="S294" s="5" t="s">
        <v>1613</v>
      </c>
      <c r="T294" s="5" t="s">
        <v>1659</v>
      </c>
      <c r="U294" s="5" t="s">
        <v>109</v>
      </c>
      <c r="V294" s="5" t="s">
        <v>109</v>
      </c>
      <c r="W294" s="5" t="s">
        <v>110</v>
      </c>
      <c r="X294" s="9"/>
      <c r="Y294" s="5" t="s">
        <v>571</v>
      </c>
      <c r="Z294" s="5" t="s">
        <v>112</v>
      </c>
      <c r="AA294" s="5" t="s">
        <v>1660</v>
      </c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 ht="99.75">
      <c r="A295" s="5" t="s">
        <v>1661</v>
      </c>
      <c r="B295" s="5" t="s">
        <v>1155</v>
      </c>
      <c r="C295" s="5" t="s">
        <v>564</v>
      </c>
      <c r="D295" s="5" t="s">
        <v>565</v>
      </c>
      <c r="E295" s="5" t="s">
        <v>1534</v>
      </c>
      <c r="F295" s="5" t="s">
        <v>1662</v>
      </c>
      <c r="G295" s="5" t="s">
        <v>1663</v>
      </c>
      <c r="H295" s="5" t="s">
        <v>102</v>
      </c>
      <c r="I295" s="5" t="s">
        <v>103</v>
      </c>
      <c r="J295" s="5" t="s">
        <v>150</v>
      </c>
      <c r="K295" s="5" t="s">
        <v>105</v>
      </c>
      <c r="L295" s="5" t="s">
        <v>568</v>
      </c>
      <c r="M295" s="9">
        <v>5.593</v>
      </c>
      <c r="N295" s="9"/>
      <c r="O295" s="9"/>
      <c r="P295" s="9">
        <v>49.966999999999999</v>
      </c>
      <c r="Q295" s="9"/>
      <c r="R295" s="9"/>
      <c r="S295" s="5" t="s">
        <v>1613</v>
      </c>
      <c r="T295" s="5" t="s">
        <v>1664</v>
      </c>
      <c r="U295" s="5" t="s">
        <v>109</v>
      </c>
      <c r="V295" s="5" t="s">
        <v>109</v>
      </c>
      <c r="W295" s="5" t="s">
        <v>110</v>
      </c>
      <c r="X295" s="9"/>
      <c r="Y295" s="5" t="s">
        <v>571</v>
      </c>
      <c r="Z295" s="5" t="s">
        <v>112</v>
      </c>
      <c r="AA295" s="5" t="s">
        <v>1665</v>
      </c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 ht="99.75">
      <c r="A296" s="5" t="s">
        <v>1666</v>
      </c>
      <c r="B296" s="5" t="s">
        <v>1155</v>
      </c>
      <c r="C296" s="5" t="s">
        <v>564</v>
      </c>
      <c r="D296" s="5" t="s">
        <v>565</v>
      </c>
      <c r="E296" s="5" t="s">
        <v>1534</v>
      </c>
      <c r="F296" s="5" t="s">
        <v>1667</v>
      </c>
      <c r="G296" s="5" t="s">
        <v>1668</v>
      </c>
      <c r="H296" s="5" t="s">
        <v>102</v>
      </c>
      <c r="I296" s="5" t="s">
        <v>103</v>
      </c>
      <c r="J296" s="5" t="s">
        <v>150</v>
      </c>
      <c r="K296" s="5" t="s">
        <v>105</v>
      </c>
      <c r="L296" s="5" t="s">
        <v>568</v>
      </c>
      <c r="M296" s="9">
        <v>5.593</v>
      </c>
      <c r="N296" s="9"/>
      <c r="O296" s="9"/>
      <c r="P296" s="9">
        <v>62.459000000000003</v>
      </c>
      <c r="Q296" s="9"/>
      <c r="R296" s="9"/>
      <c r="S296" s="5" t="s">
        <v>1613</v>
      </c>
      <c r="T296" s="5" t="s">
        <v>1669</v>
      </c>
      <c r="U296" s="5" t="s">
        <v>109</v>
      </c>
      <c r="V296" s="5" t="s">
        <v>109</v>
      </c>
      <c r="W296" s="5" t="s">
        <v>110</v>
      </c>
      <c r="X296" s="9"/>
      <c r="Y296" s="5" t="s">
        <v>571</v>
      </c>
      <c r="Z296" s="5" t="s">
        <v>112</v>
      </c>
      <c r="AA296" s="5" t="s">
        <v>1670</v>
      </c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 ht="99.75">
      <c r="A297" s="5" t="s">
        <v>1671</v>
      </c>
      <c r="B297" s="5" t="s">
        <v>1155</v>
      </c>
      <c r="C297" s="5" t="s">
        <v>564</v>
      </c>
      <c r="D297" s="5" t="s">
        <v>565</v>
      </c>
      <c r="E297" s="5" t="s">
        <v>1534</v>
      </c>
      <c r="F297" s="5" t="s">
        <v>1672</v>
      </c>
      <c r="G297" s="5" t="s">
        <v>1673</v>
      </c>
      <c r="H297" s="5" t="s">
        <v>102</v>
      </c>
      <c r="I297" s="5" t="s">
        <v>103</v>
      </c>
      <c r="J297" s="5" t="s">
        <v>150</v>
      </c>
      <c r="K297" s="5" t="s">
        <v>105</v>
      </c>
      <c r="L297" s="5" t="s">
        <v>568</v>
      </c>
      <c r="M297" s="9">
        <v>5.593</v>
      </c>
      <c r="N297" s="9"/>
      <c r="O297" s="9"/>
      <c r="P297" s="9">
        <v>73.816000000000003</v>
      </c>
      <c r="Q297" s="9"/>
      <c r="R297" s="9"/>
      <c r="S297" s="5" t="s">
        <v>1613</v>
      </c>
      <c r="T297" s="5" t="s">
        <v>1674</v>
      </c>
      <c r="U297" s="5" t="s">
        <v>109</v>
      </c>
      <c r="V297" s="5" t="s">
        <v>109</v>
      </c>
      <c r="W297" s="5" t="s">
        <v>110</v>
      </c>
      <c r="X297" s="9"/>
      <c r="Y297" s="5" t="s">
        <v>571</v>
      </c>
      <c r="Z297" s="5" t="s">
        <v>112</v>
      </c>
      <c r="AA297" s="5" t="s">
        <v>1675</v>
      </c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 ht="99.75">
      <c r="A298" s="5" t="s">
        <v>1676</v>
      </c>
      <c r="B298" s="5" t="s">
        <v>1155</v>
      </c>
      <c r="C298" s="5" t="s">
        <v>564</v>
      </c>
      <c r="D298" s="5" t="s">
        <v>565</v>
      </c>
      <c r="E298" s="5" t="s">
        <v>1534</v>
      </c>
      <c r="F298" s="5" t="s">
        <v>1677</v>
      </c>
      <c r="G298" s="5" t="s">
        <v>1678</v>
      </c>
      <c r="H298" s="5" t="s">
        <v>102</v>
      </c>
      <c r="I298" s="5" t="s">
        <v>103</v>
      </c>
      <c r="J298" s="5" t="s">
        <v>150</v>
      </c>
      <c r="K298" s="5" t="s">
        <v>105</v>
      </c>
      <c r="L298" s="5" t="s">
        <v>568</v>
      </c>
      <c r="M298" s="9">
        <v>5.593</v>
      </c>
      <c r="N298" s="9"/>
      <c r="O298" s="9"/>
      <c r="P298" s="9">
        <v>85.171999999999997</v>
      </c>
      <c r="Q298" s="9"/>
      <c r="R298" s="9"/>
      <c r="S298" s="5" t="s">
        <v>1613</v>
      </c>
      <c r="T298" s="5" t="s">
        <v>1679</v>
      </c>
      <c r="U298" s="5" t="s">
        <v>109</v>
      </c>
      <c r="V298" s="5" t="s">
        <v>109</v>
      </c>
      <c r="W298" s="5" t="s">
        <v>110</v>
      </c>
      <c r="X298" s="9"/>
      <c r="Y298" s="5" t="s">
        <v>571</v>
      </c>
      <c r="Z298" s="5" t="s">
        <v>112</v>
      </c>
      <c r="AA298" s="5" t="s">
        <v>1680</v>
      </c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 ht="99.75">
      <c r="A299" s="5" t="s">
        <v>1681</v>
      </c>
      <c r="B299" s="5" t="s">
        <v>1155</v>
      </c>
      <c r="C299" s="5" t="s">
        <v>564</v>
      </c>
      <c r="D299" s="5" t="s">
        <v>565</v>
      </c>
      <c r="E299" s="5" t="s">
        <v>1534</v>
      </c>
      <c r="F299" s="5" t="s">
        <v>1682</v>
      </c>
      <c r="G299" s="5" t="s">
        <v>1683</v>
      </c>
      <c r="H299" s="5" t="s">
        <v>102</v>
      </c>
      <c r="I299" s="5" t="s">
        <v>103</v>
      </c>
      <c r="J299" s="5" t="s">
        <v>150</v>
      </c>
      <c r="K299" s="5" t="s">
        <v>105</v>
      </c>
      <c r="L299" s="5" t="s">
        <v>568</v>
      </c>
      <c r="M299" s="9">
        <v>7.4569999999999999</v>
      </c>
      <c r="N299" s="9"/>
      <c r="O299" s="9"/>
      <c r="P299" s="9">
        <v>4.5419999999999998</v>
      </c>
      <c r="Q299" s="9"/>
      <c r="R299" s="9"/>
      <c r="S299" s="5" t="s">
        <v>1684</v>
      </c>
      <c r="T299" s="5" t="s">
        <v>1685</v>
      </c>
      <c r="U299" s="5" t="s">
        <v>109</v>
      </c>
      <c r="V299" s="5" t="s">
        <v>109</v>
      </c>
      <c r="W299" s="5" t="s">
        <v>110</v>
      </c>
      <c r="X299" s="9"/>
      <c r="Y299" s="5" t="s">
        <v>571</v>
      </c>
      <c r="Z299" s="5" t="s">
        <v>112</v>
      </c>
      <c r="AA299" s="5" t="s">
        <v>1686</v>
      </c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 ht="99.75">
      <c r="A300" s="5" t="s">
        <v>1687</v>
      </c>
      <c r="B300" s="5" t="s">
        <v>1155</v>
      </c>
      <c r="C300" s="5" t="s">
        <v>564</v>
      </c>
      <c r="D300" s="5" t="s">
        <v>565</v>
      </c>
      <c r="E300" s="5" t="s">
        <v>1534</v>
      </c>
      <c r="F300" s="5" t="s">
        <v>1688</v>
      </c>
      <c r="G300" s="5" t="s">
        <v>1689</v>
      </c>
      <c r="H300" s="5" t="s">
        <v>102</v>
      </c>
      <c r="I300" s="5" t="s">
        <v>103</v>
      </c>
      <c r="J300" s="5" t="s">
        <v>150</v>
      </c>
      <c r="K300" s="5" t="s">
        <v>105</v>
      </c>
      <c r="L300" s="5" t="s">
        <v>568</v>
      </c>
      <c r="M300" s="9">
        <v>7.4569999999999999</v>
      </c>
      <c r="N300" s="9"/>
      <c r="O300" s="9"/>
      <c r="P300" s="9">
        <v>5.6779999999999999</v>
      </c>
      <c r="Q300" s="9"/>
      <c r="R300" s="9"/>
      <c r="S300" s="5" t="s">
        <v>1684</v>
      </c>
      <c r="T300" s="5" t="s">
        <v>1690</v>
      </c>
      <c r="U300" s="5" t="s">
        <v>109</v>
      </c>
      <c r="V300" s="5" t="s">
        <v>109</v>
      </c>
      <c r="W300" s="5" t="s">
        <v>110</v>
      </c>
      <c r="X300" s="9"/>
      <c r="Y300" s="5" t="s">
        <v>571</v>
      </c>
      <c r="Z300" s="5" t="s">
        <v>112</v>
      </c>
      <c r="AA300" s="5" t="s">
        <v>1691</v>
      </c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 ht="99.75">
      <c r="A301" s="5" t="s">
        <v>1692</v>
      </c>
      <c r="B301" s="5" t="s">
        <v>1155</v>
      </c>
      <c r="C301" s="5" t="s">
        <v>564</v>
      </c>
      <c r="D301" s="5" t="s">
        <v>565</v>
      </c>
      <c r="E301" s="5" t="s">
        <v>1534</v>
      </c>
      <c r="F301" s="5" t="s">
        <v>1693</v>
      </c>
      <c r="G301" s="5" t="s">
        <v>1694</v>
      </c>
      <c r="H301" s="5" t="s">
        <v>102</v>
      </c>
      <c r="I301" s="5" t="s">
        <v>103</v>
      </c>
      <c r="J301" s="5" t="s">
        <v>150</v>
      </c>
      <c r="K301" s="5" t="s">
        <v>105</v>
      </c>
      <c r="L301" s="5" t="s">
        <v>568</v>
      </c>
      <c r="M301" s="9">
        <v>7.4569999999999999</v>
      </c>
      <c r="N301" s="9"/>
      <c r="O301" s="9"/>
      <c r="P301" s="9">
        <v>7.9489999999999998</v>
      </c>
      <c r="Q301" s="9"/>
      <c r="R301" s="9"/>
      <c r="S301" s="5" t="s">
        <v>1684</v>
      </c>
      <c r="T301" s="5" t="s">
        <v>1695</v>
      </c>
      <c r="U301" s="5" t="s">
        <v>109</v>
      </c>
      <c r="V301" s="5" t="s">
        <v>109</v>
      </c>
      <c r="W301" s="5" t="s">
        <v>110</v>
      </c>
      <c r="X301" s="9"/>
      <c r="Y301" s="5" t="s">
        <v>571</v>
      </c>
      <c r="Z301" s="5" t="s">
        <v>112</v>
      </c>
      <c r="AA301" s="5" t="s">
        <v>1696</v>
      </c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</sheetData>
  <conditionalFormatting sqref="Z2:Z301">
    <cfRule type="expression" dxfId="2" priority="1">
      <formula>Z2="Verified"</formula>
    </cfRule>
    <cfRule type="expression" dxfId="1" priority="2">
      <formula>Z2="In progress"</formula>
    </cfRule>
    <cfRule type="expression" dxfId="0" priority="3">
      <formula>Z2="Rejected"</formula>
    </cfRule>
  </conditionalFormatting>
  <dataValidations count="8">
    <dataValidation type="list" sqref="B2:B301" xr:uid="{00000000-0002-0000-0100-000000000000}">
      <formula1>"Household,Farm_SME,Industrial"</formula1>
    </dataValidation>
    <dataValidation type="list" sqref="H2:H301" xr:uid="{00000000-0002-0000-0100-000001000000}">
      <formula1>"Submersible,Surface,Booster,End_suction,Split_case,Vertical_turbine,Multistage"</formula1>
    </dataValidation>
    <dataValidation type="list" sqref="I2:I301" xr:uid="{00000000-0002-0000-0100-000002000000}">
      <formula1>"Borehole,Surface,Inline,Stationary,Mobile"</formula1>
    </dataValidation>
    <dataValidation type="list" sqref="J2:J301" xr:uid="{00000000-0002-0000-0100-000003000000}">
      <formula1>"Helical rotor,Centrifugal,Peripheral,Jet,Mixed_flow,Axial,Positive_displacement"</formula1>
    </dataValidation>
    <dataValidation type="list" sqref="K2:K301" xr:uid="{00000000-0002-0000-0100-000004000000}">
      <formula1>"Direct_DC,DC_Controller,AC_DC_Integrated,PV_VFD_AC,DC_Bus_Inverter"</formula1>
    </dataValidation>
    <dataValidation type="list" sqref="L2:L301" xr:uid="{00000000-0002-0000-0100-000005000000}">
      <formula1>"BLDC,PMSM,AC induction,Synchronous,Other"</formula1>
    </dataValidation>
    <dataValidation type="list" sqref="U2:W301" xr:uid="{00000000-0002-0000-0100-000006000000}">
      <formula1>"Yes,No"</formula1>
    </dataValidation>
    <dataValidation type="list" sqref="Z2:Z301" xr:uid="{00000000-0002-0000-0100-000009000000}">
      <formula1>"Planned,In progress,Verified,Rejected"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2000"/>
  <sheetViews>
    <sheetView workbookViewId="0"/>
  </sheetViews>
  <sheetFormatPr defaultRowHeight="14.25"/>
  <cols>
    <col min="1" max="1" width="14" customWidth="1"/>
    <col min="2" max="2" width="12" customWidth="1"/>
    <col min="3" max="3" width="10" customWidth="1"/>
    <col min="4" max="5" width="14" customWidth="1"/>
    <col min="6" max="6" width="15" customWidth="1"/>
    <col min="7" max="7" width="14" customWidth="1"/>
    <col min="8" max="8" width="12" customWidth="1"/>
    <col min="9" max="9" width="22" customWidth="1"/>
    <col min="10" max="10" width="16" customWidth="1"/>
    <col min="11" max="11" width="28" customWidth="1"/>
  </cols>
  <sheetData>
    <row r="1" spans="1:52" ht="30">
      <c r="A1" s="15" t="s">
        <v>1697</v>
      </c>
      <c r="B1" s="15" t="s">
        <v>68</v>
      </c>
      <c r="C1" s="15" t="s">
        <v>1698</v>
      </c>
      <c r="D1" s="15" t="s">
        <v>1699</v>
      </c>
      <c r="E1" s="15" t="s">
        <v>1700</v>
      </c>
      <c r="F1" s="15" t="s">
        <v>1701</v>
      </c>
      <c r="G1" s="15" t="s">
        <v>85</v>
      </c>
      <c r="H1" s="15" t="s">
        <v>92</v>
      </c>
      <c r="I1" s="15" t="s">
        <v>1702</v>
      </c>
      <c r="J1" s="15" t="s">
        <v>93</v>
      </c>
      <c r="K1" s="15" t="s">
        <v>94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71.25">
      <c r="A2" s="2" t="s">
        <v>786</v>
      </c>
      <c r="B2" s="2" t="s">
        <v>783</v>
      </c>
      <c r="C2" s="2">
        <v>1</v>
      </c>
      <c r="D2" s="10">
        <v>0</v>
      </c>
      <c r="E2" s="10">
        <v>180</v>
      </c>
      <c r="F2" s="10"/>
      <c r="G2" s="10"/>
      <c r="H2" s="2" t="s">
        <v>787</v>
      </c>
      <c r="I2" s="2" t="s">
        <v>1703</v>
      </c>
      <c r="J2" s="2" t="s">
        <v>1704</v>
      </c>
      <c r="K2" s="2" t="s">
        <v>1705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71.25">
      <c r="A3" s="2" t="s">
        <v>786</v>
      </c>
      <c r="B3" s="2" t="s">
        <v>783</v>
      </c>
      <c r="C3" s="2">
        <v>2</v>
      </c>
      <c r="D3" s="10">
        <v>0.5</v>
      </c>
      <c r="E3" s="10">
        <v>160</v>
      </c>
      <c r="F3" s="10"/>
      <c r="G3" s="10"/>
      <c r="H3" s="2" t="s">
        <v>787</v>
      </c>
      <c r="I3" s="2" t="s">
        <v>1703</v>
      </c>
      <c r="J3" s="2" t="s">
        <v>1704</v>
      </c>
      <c r="K3" s="2" t="s">
        <v>1705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71.25">
      <c r="A4" s="2" t="s">
        <v>786</v>
      </c>
      <c r="B4" s="2" t="s">
        <v>783</v>
      </c>
      <c r="C4" s="2">
        <v>3</v>
      </c>
      <c r="D4" s="10">
        <v>1</v>
      </c>
      <c r="E4" s="10">
        <v>140</v>
      </c>
      <c r="F4" s="10"/>
      <c r="G4" s="10"/>
      <c r="H4" s="2" t="s">
        <v>787</v>
      </c>
      <c r="I4" s="2" t="s">
        <v>1703</v>
      </c>
      <c r="J4" s="2" t="s">
        <v>1704</v>
      </c>
      <c r="K4" s="2" t="s">
        <v>1705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71.25">
      <c r="A5" s="2" t="s">
        <v>786</v>
      </c>
      <c r="B5" s="2" t="s">
        <v>783</v>
      </c>
      <c r="C5" s="2">
        <v>4</v>
      </c>
      <c r="D5" s="10">
        <v>1.5</v>
      </c>
      <c r="E5" s="10">
        <v>122</v>
      </c>
      <c r="F5" s="10"/>
      <c r="G5" s="10"/>
      <c r="H5" s="2" t="s">
        <v>787</v>
      </c>
      <c r="I5" s="2" t="s">
        <v>1703</v>
      </c>
      <c r="J5" s="2" t="s">
        <v>1704</v>
      </c>
      <c r="K5" s="2" t="s">
        <v>1705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71.25">
      <c r="A6" s="2" t="s">
        <v>786</v>
      </c>
      <c r="B6" s="2" t="s">
        <v>783</v>
      </c>
      <c r="C6" s="2">
        <v>5</v>
      </c>
      <c r="D6" s="10">
        <v>2</v>
      </c>
      <c r="E6" s="10">
        <v>105</v>
      </c>
      <c r="F6" s="10"/>
      <c r="G6" s="10"/>
      <c r="H6" s="2" t="s">
        <v>787</v>
      </c>
      <c r="I6" s="2" t="s">
        <v>1703</v>
      </c>
      <c r="J6" s="2" t="s">
        <v>1704</v>
      </c>
      <c r="K6" s="2" t="s">
        <v>1705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71.25">
      <c r="A7" s="2" t="s">
        <v>786</v>
      </c>
      <c r="B7" s="2" t="s">
        <v>783</v>
      </c>
      <c r="C7" s="2">
        <v>6</v>
      </c>
      <c r="D7" s="10">
        <v>2.5</v>
      </c>
      <c r="E7" s="10">
        <v>90</v>
      </c>
      <c r="F7" s="10"/>
      <c r="G7" s="10"/>
      <c r="H7" s="2" t="s">
        <v>787</v>
      </c>
      <c r="I7" s="2" t="s">
        <v>1703</v>
      </c>
      <c r="J7" s="2" t="s">
        <v>1704</v>
      </c>
      <c r="K7" s="2" t="s">
        <v>1705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71.25">
      <c r="A8" s="2" t="s">
        <v>786</v>
      </c>
      <c r="B8" s="2" t="s">
        <v>783</v>
      </c>
      <c r="C8" s="2">
        <v>7</v>
      </c>
      <c r="D8" s="10">
        <v>3</v>
      </c>
      <c r="E8" s="10">
        <v>72</v>
      </c>
      <c r="F8" s="10"/>
      <c r="G8" s="10"/>
      <c r="H8" s="2" t="s">
        <v>787</v>
      </c>
      <c r="I8" s="2" t="s">
        <v>1703</v>
      </c>
      <c r="J8" s="2" t="s">
        <v>1704</v>
      </c>
      <c r="K8" s="2" t="s">
        <v>1705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71.25">
      <c r="A9" s="2" t="s">
        <v>786</v>
      </c>
      <c r="B9" s="2" t="s">
        <v>783</v>
      </c>
      <c r="C9" s="2">
        <v>8</v>
      </c>
      <c r="D9" s="10">
        <v>3.3</v>
      </c>
      <c r="E9" s="10">
        <v>52</v>
      </c>
      <c r="F9" s="10"/>
      <c r="G9" s="10"/>
      <c r="H9" s="2" t="s">
        <v>787</v>
      </c>
      <c r="I9" s="2" t="s">
        <v>1703</v>
      </c>
      <c r="J9" s="2" t="s">
        <v>1704</v>
      </c>
      <c r="K9" s="2" t="s">
        <v>1705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71.25">
      <c r="A10" s="2" t="s">
        <v>786</v>
      </c>
      <c r="B10" s="2" t="s">
        <v>783</v>
      </c>
      <c r="C10" s="2">
        <v>9</v>
      </c>
      <c r="D10" s="10">
        <v>3.5</v>
      </c>
      <c r="E10" s="10">
        <v>35</v>
      </c>
      <c r="F10" s="10"/>
      <c r="G10" s="10"/>
      <c r="H10" s="2" t="s">
        <v>787</v>
      </c>
      <c r="I10" s="2" t="s">
        <v>1703</v>
      </c>
      <c r="J10" s="2" t="s">
        <v>1704</v>
      </c>
      <c r="K10" s="2" t="s">
        <v>1705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71.25">
      <c r="A11" s="2" t="s">
        <v>786</v>
      </c>
      <c r="B11" s="2" t="s">
        <v>783</v>
      </c>
      <c r="C11" s="2">
        <v>10</v>
      </c>
      <c r="D11" s="10">
        <v>3.7</v>
      </c>
      <c r="E11" s="10">
        <v>18</v>
      </c>
      <c r="F11" s="10"/>
      <c r="G11" s="10"/>
      <c r="H11" s="2" t="s">
        <v>787</v>
      </c>
      <c r="I11" s="2" t="s">
        <v>1703</v>
      </c>
      <c r="J11" s="2" t="s">
        <v>1704</v>
      </c>
      <c r="K11" s="2" t="s">
        <v>1705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71.25">
      <c r="A12" s="2" t="s">
        <v>786</v>
      </c>
      <c r="B12" s="2" t="s">
        <v>783</v>
      </c>
      <c r="C12" s="2">
        <v>11</v>
      </c>
      <c r="D12" s="10">
        <v>3.8</v>
      </c>
      <c r="E12" s="10">
        <v>0</v>
      </c>
      <c r="F12" s="10"/>
      <c r="G12" s="10"/>
      <c r="H12" s="2" t="s">
        <v>787</v>
      </c>
      <c r="I12" s="2" t="s">
        <v>1703</v>
      </c>
      <c r="J12" s="2" t="s">
        <v>1704</v>
      </c>
      <c r="K12" s="2" t="s">
        <v>1705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71.25">
      <c r="A13" s="2" t="s">
        <v>792</v>
      </c>
      <c r="B13" s="2" t="s">
        <v>789</v>
      </c>
      <c r="C13" s="2">
        <v>1</v>
      </c>
      <c r="D13" s="10">
        <v>0</v>
      </c>
      <c r="E13" s="10">
        <v>125</v>
      </c>
      <c r="F13" s="10"/>
      <c r="G13" s="10"/>
      <c r="H13" s="2" t="s">
        <v>787</v>
      </c>
      <c r="I13" s="2" t="s">
        <v>1703</v>
      </c>
      <c r="J13" s="2" t="s">
        <v>1704</v>
      </c>
      <c r="K13" s="2" t="s">
        <v>1705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71.25">
      <c r="A14" s="2" t="s">
        <v>792</v>
      </c>
      <c r="B14" s="2" t="s">
        <v>789</v>
      </c>
      <c r="C14" s="2">
        <v>2</v>
      </c>
      <c r="D14" s="10">
        <v>0.5</v>
      </c>
      <c r="E14" s="10">
        <v>121</v>
      </c>
      <c r="F14" s="10"/>
      <c r="G14" s="10"/>
      <c r="H14" s="2" t="s">
        <v>787</v>
      </c>
      <c r="I14" s="2" t="s">
        <v>1703</v>
      </c>
      <c r="J14" s="2" t="s">
        <v>1704</v>
      </c>
      <c r="K14" s="2" t="s">
        <v>1705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71.25">
      <c r="A15" s="2" t="s">
        <v>792</v>
      </c>
      <c r="B15" s="2" t="s">
        <v>789</v>
      </c>
      <c r="C15" s="2">
        <v>3</v>
      </c>
      <c r="D15" s="10">
        <v>1</v>
      </c>
      <c r="E15" s="10">
        <v>116</v>
      </c>
      <c r="F15" s="10"/>
      <c r="G15" s="10"/>
      <c r="H15" s="2" t="s">
        <v>787</v>
      </c>
      <c r="I15" s="2" t="s">
        <v>1703</v>
      </c>
      <c r="J15" s="2" t="s">
        <v>1704</v>
      </c>
      <c r="K15" s="2" t="s">
        <v>1705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71.25">
      <c r="A16" s="2" t="s">
        <v>792</v>
      </c>
      <c r="B16" s="2" t="s">
        <v>789</v>
      </c>
      <c r="C16" s="2">
        <v>4</v>
      </c>
      <c r="D16" s="10">
        <v>1.5</v>
      </c>
      <c r="E16" s="10">
        <v>110</v>
      </c>
      <c r="F16" s="10"/>
      <c r="G16" s="10"/>
      <c r="H16" s="2" t="s">
        <v>787</v>
      </c>
      <c r="I16" s="2" t="s">
        <v>1703</v>
      </c>
      <c r="J16" s="2" t="s">
        <v>1704</v>
      </c>
      <c r="K16" s="2" t="s">
        <v>1705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71.25">
      <c r="A17" s="2" t="s">
        <v>792</v>
      </c>
      <c r="B17" s="2" t="s">
        <v>789</v>
      </c>
      <c r="C17" s="2">
        <v>5</v>
      </c>
      <c r="D17" s="10">
        <v>2</v>
      </c>
      <c r="E17" s="10">
        <v>103</v>
      </c>
      <c r="F17" s="10"/>
      <c r="G17" s="10"/>
      <c r="H17" s="2" t="s">
        <v>787</v>
      </c>
      <c r="I17" s="2" t="s">
        <v>1703</v>
      </c>
      <c r="J17" s="2" t="s">
        <v>1704</v>
      </c>
      <c r="K17" s="2" t="s">
        <v>1705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71.25">
      <c r="A18" s="2" t="s">
        <v>792</v>
      </c>
      <c r="B18" s="2" t="s">
        <v>789</v>
      </c>
      <c r="C18" s="2">
        <v>6</v>
      </c>
      <c r="D18" s="10">
        <v>2.5</v>
      </c>
      <c r="E18" s="10">
        <v>95</v>
      </c>
      <c r="F18" s="10"/>
      <c r="G18" s="10"/>
      <c r="H18" s="2" t="s">
        <v>787</v>
      </c>
      <c r="I18" s="2" t="s">
        <v>1703</v>
      </c>
      <c r="J18" s="2" t="s">
        <v>1704</v>
      </c>
      <c r="K18" s="2" t="s">
        <v>1705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71.25">
      <c r="A19" s="2" t="s">
        <v>792</v>
      </c>
      <c r="B19" s="2" t="s">
        <v>789</v>
      </c>
      <c r="C19" s="2">
        <v>7</v>
      </c>
      <c r="D19" s="10">
        <v>3</v>
      </c>
      <c r="E19" s="10">
        <v>86</v>
      </c>
      <c r="F19" s="10"/>
      <c r="G19" s="10"/>
      <c r="H19" s="2" t="s">
        <v>787</v>
      </c>
      <c r="I19" s="2" t="s">
        <v>1703</v>
      </c>
      <c r="J19" s="2" t="s">
        <v>1704</v>
      </c>
      <c r="K19" s="2" t="s">
        <v>1705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71.25">
      <c r="A20" s="2" t="s">
        <v>792</v>
      </c>
      <c r="B20" s="2" t="s">
        <v>789</v>
      </c>
      <c r="C20" s="2">
        <v>8</v>
      </c>
      <c r="D20" s="10">
        <v>3.5</v>
      </c>
      <c r="E20" s="10">
        <v>75</v>
      </c>
      <c r="F20" s="10"/>
      <c r="G20" s="10"/>
      <c r="H20" s="2" t="s">
        <v>787</v>
      </c>
      <c r="I20" s="2" t="s">
        <v>1703</v>
      </c>
      <c r="J20" s="2" t="s">
        <v>1704</v>
      </c>
      <c r="K20" s="2" t="s">
        <v>1705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71.25">
      <c r="A21" s="2" t="s">
        <v>792</v>
      </c>
      <c r="B21" s="2" t="s">
        <v>789</v>
      </c>
      <c r="C21" s="2">
        <v>9</v>
      </c>
      <c r="D21" s="10">
        <v>4</v>
      </c>
      <c r="E21" s="10">
        <v>63</v>
      </c>
      <c r="F21" s="10"/>
      <c r="G21" s="10"/>
      <c r="H21" s="2" t="s">
        <v>787</v>
      </c>
      <c r="I21" s="2" t="s">
        <v>1703</v>
      </c>
      <c r="J21" s="2" t="s">
        <v>1704</v>
      </c>
      <c r="K21" s="2" t="s">
        <v>1705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71.25">
      <c r="A22" s="2" t="s">
        <v>792</v>
      </c>
      <c r="B22" s="2" t="s">
        <v>789</v>
      </c>
      <c r="C22" s="2">
        <v>10</v>
      </c>
      <c r="D22" s="10">
        <v>4.5</v>
      </c>
      <c r="E22" s="10">
        <v>50</v>
      </c>
      <c r="F22" s="10"/>
      <c r="G22" s="10"/>
      <c r="H22" s="2" t="s">
        <v>787</v>
      </c>
      <c r="I22" s="2" t="s">
        <v>1703</v>
      </c>
      <c r="J22" s="2" t="s">
        <v>1704</v>
      </c>
      <c r="K22" s="2" t="s">
        <v>1705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71.25">
      <c r="A23" s="2" t="s">
        <v>792</v>
      </c>
      <c r="B23" s="2" t="s">
        <v>789</v>
      </c>
      <c r="C23" s="2">
        <v>11</v>
      </c>
      <c r="D23" s="10">
        <v>5</v>
      </c>
      <c r="E23" s="10">
        <v>36</v>
      </c>
      <c r="F23" s="10"/>
      <c r="G23" s="10"/>
      <c r="H23" s="2" t="s">
        <v>787</v>
      </c>
      <c r="I23" s="2" t="s">
        <v>1703</v>
      </c>
      <c r="J23" s="2" t="s">
        <v>1704</v>
      </c>
      <c r="K23" s="2" t="s">
        <v>1705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71.25">
      <c r="A24" s="2" t="s">
        <v>792</v>
      </c>
      <c r="B24" s="2" t="s">
        <v>789</v>
      </c>
      <c r="C24" s="2">
        <v>12</v>
      </c>
      <c r="D24" s="10">
        <v>5.5</v>
      </c>
      <c r="E24" s="10">
        <v>20</v>
      </c>
      <c r="F24" s="10"/>
      <c r="G24" s="10"/>
      <c r="H24" s="2" t="s">
        <v>787</v>
      </c>
      <c r="I24" s="2" t="s">
        <v>1703</v>
      </c>
      <c r="J24" s="2" t="s">
        <v>1704</v>
      </c>
      <c r="K24" s="2" t="s">
        <v>1705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71.25">
      <c r="A25" s="2" t="s">
        <v>792</v>
      </c>
      <c r="B25" s="2" t="s">
        <v>789</v>
      </c>
      <c r="C25" s="2">
        <v>13</v>
      </c>
      <c r="D25" s="10">
        <v>6</v>
      </c>
      <c r="E25" s="10">
        <v>0</v>
      </c>
      <c r="F25" s="10"/>
      <c r="G25" s="10"/>
      <c r="H25" s="2" t="s">
        <v>787</v>
      </c>
      <c r="I25" s="2" t="s">
        <v>1703</v>
      </c>
      <c r="J25" s="2" t="s">
        <v>1704</v>
      </c>
      <c r="K25" s="2" t="s">
        <v>1705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71.25">
      <c r="A26" s="2" t="s">
        <v>797</v>
      </c>
      <c r="B26" s="2" t="s">
        <v>794</v>
      </c>
      <c r="C26" s="2">
        <v>1</v>
      </c>
      <c r="D26" s="10">
        <v>0</v>
      </c>
      <c r="E26" s="10">
        <v>85</v>
      </c>
      <c r="F26" s="10"/>
      <c r="G26" s="10"/>
      <c r="H26" s="2" t="s">
        <v>787</v>
      </c>
      <c r="I26" s="2" t="s">
        <v>1703</v>
      </c>
      <c r="J26" s="2" t="s">
        <v>1704</v>
      </c>
      <c r="K26" s="2" t="s">
        <v>1705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71.25">
      <c r="A27" s="2" t="s">
        <v>797</v>
      </c>
      <c r="B27" s="2" t="s">
        <v>794</v>
      </c>
      <c r="C27" s="2">
        <v>2</v>
      </c>
      <c r="D27" s="10">
        <v>0.5</v>
      </c>
      <c r="E27" s="10">
        <v>84</v>
      </c>
      <c r="F27" s="10"/>
      <c r="G27" s="10"/>
      <c r="H27" s="2" t="s">
        <v>787</v>
      </c>
      <c r="I27" s="2" t="s">
        <v>1703</v>
      </c>
      <c r="J27" s="2" t="s">
        <v>1704</v>
      </c>
      <c r="K27" s="2" t="s">
        <v>1705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71.25">
      <c r="A28" s="2" t="s">
        <v>797</v>
      </c>
      <c r="B28" s="2" t="s">
        <v>794</v>
      </c>
      <c r="C28" s="2">
        <v>3</v>
      </c>
      <c r="D28" s="10">
        <v>1</v>
      </c>
      <c r="E28" s="10">
        <v>83</v>
      </c>
      <c r="F28" s="10"/>
      <c r="G28" s="10"/>
      <c r="H28" s="2" t="s">
        <v>787</v>
      </c>
      <c r="I28" s="2" t="s">
        <v>1703</v>
      </c>
      <c r="J28" s="2" t="s">
        <v>1704</v>
      </c>
      <c r="K28" s="2" t="s">
        <v>1705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71.25">
      <c r="A29" s="2" t="s">
        <v>797</v>
      </c>
      <c r="B29" s="2" t="s">
        <v>794</v>
      </c>
      <c r="C29" s="2">
        <v>4</v>
      </c>
      <c r="D29" s="10">
        <v>1.5</v>
      </c>
      <c r="E29" s="10">
        <v>81</v>
      </c>
      <c r="F29" s="10"/>
      <c r="G29" s="10"/>
      <c r="H29" s="2" t="s">
        <v>787</v>
      </c>
      <c r="I29" s="2" t="s">
        <v>1703</v>
      </c>
      <c r="J29" s="2" t="s">
        <v>1704</v>
      </c>
      <c r="K29" s="2" t="s">
        <v>1705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71.25">
      <c r="A30" s="2" t="s">
        <v>797</v>
      </c>
      <c r="B30" s="2" t="s">
        <v>794</v>
      </c>
      <c r="C30" s="2">
        <v>5</v>
      </c>
      <c r="D30" s="10">
        <v>2</v>
      </c>
      <c r="E30" s="10">
        <v>79</v>
      </c>
      <c r="F30" s="10"/>
      <c r="G30" s="10"/>
      <c r="H30" s="2" t="s">
        <v>787</v>
      </c>
      <c r="I30" s="2" t="s">
        <v>1703</v>
      </c>
      <c r="J30" s="2" t="s">
        <v>1704</v>
      </c>
      <c r="K30" s="2" t="s">
        <v>1705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71.25">
      <c r="A31" s="2" t="s">
        <v>797</v>
      </c>
      <c r="B31" s="2" t="s">
        <v>794</v>
      </c>
      <c r="C31" s="2">
        <v>6</v>
      </c>
      <c r="D31" s="10">
        <v>2.5</v>
      </c>
      <c r="E31" s="10">
        <v>76</v>
      </c>
      <c r="F31" s="10"/>
      <c r="G31" s="10"/>
      <c r="H31" s="2" t="s">
        <v>787</v>
      </c>
      <c r="I31" s="2" t="s">
        <v>1703</v>
      </c>
      <c r="J31" s="2" t="s">
        <v>1704</v>
      </c>
      <c r="K31" s="2" t="s">
        <v>1705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71.25">
      <c r="A32" s="2" t="s">
        <v>797</v>
      </c>
      <c r="B32" s="2" t="s">
        <v>794</v>
      </c>
      <c r="C32" s="2">
        <v>7</v>
      </c>
      <c r="D32" s="10">
        <v>3</v>
      </c>
      <c r="E32" s="10">
        <v>72</v>
      </c>
      <c r="F32" s="10"/>
      <c r="G32" s="10"/>
      <c r="H32" s="2" t="s">
        <v>787</v>
      </c>
      <c r="I32" s="2" t="s">
        <v>1703</v>
      </c>
      <c r="J32" s="2" t="s">
        <v>1704</v>
      </c>
      <c r="K32" s="2" t="s">
        <v>1705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71.25">
      <c r="A33" s="2" t="s">
        <v>797</v>
      </c>
      <c r="B33" s="2" t="s">
        <v>794</v>
      </c>
      <c r="C33" s="2">
        <v>8</v>
      </c>
      <c r="D33" s="10">
        <v>3.5</v>
      </c>
      <c r="E33" s="10">
        <v>67</v>
      </c>
      <c r="F33" s="10"/>
      <c r="G33" s="10"/>
      <c r="H33" s="2" t="s">
        <v>787</v>
      </c>
      <c r="I33" s="2" t="s">
        <v>1703</v>
      </c>
      <c r="J33" s="2" t="s">
        <v>1704</v>
      </c>
      <c r="K33" s="2" t="s">
        <v>1705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71.25">
      <c r="A34" s="2" t="s">
        <v>797</v>
      </c>
      <c r="B34" s="2" t="s">
        <v>794</v>
      </c>
      <c r="C34" s="2">
        <v>9</v>
      </c>
      <c r="D34" s="10">
        <v>4</v>
      </c>
      <c r="E34" s="10">
        <v>61</v>
      </c>
      <c r="F34" s="10"/>
      <c r="G34" s="10"/>
      <c r="H34" s="2" t="s">
        <v>787</v>
      </c>
      <c r="I34" s="2" t="s">
        <v>1703</v>
      </c>
      <c r="J34" s="2" t="s">
        <v>1704</v>
      </c>
      <c r="K34" s="2" t="s">
        <v>1705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71.25">
      <c r="A35" s="2" t="s">
        <v>797</v>
      </c>
      <c r="B35" s="2" t="s">
        <v>794</v>
      </c>
      <c r="C35" s="2">
        <v>10</v>
      </c>
      <c r="D35" s="10">
        <v>4.5</v>
      </c>
      <c r="E35" s="10">
        <v>54</v>
      </c>
      <c r="F35" s="10"/>
      <c r="G35" s="10"/>
      <c r="H35" s="2" t="s">
        <v>787</v>
      </c>
      <c r="I35" s="2" t="s">
        <v>1703</v>
      </c>
      <c r="J35" s="2" t="s">
        <v>1704</v>
      </c>
      <c r="K35" s="2" t="s">
        <v>1705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71.25">
      <c r="A36" s="2" t="s">
        <v>797</v>
      </c>
      <c r="B36" s="2" t="s">
        <v>794</v>
      </c>
      <c r="C36" s="2">
        <v>11</v>
      </c>
      <c r="D36" s="10">
        <v>5</v>
      </c>
      <c r="E36" s="10">
        <v>47</v>
      </c>
      <c r="F36" s="10"/>
      <c r="G36" s="10"/>
      <c r="H36" s="2" t="s">
        <v>787</v>
      </c>
      <c r="I36" s="2" t="s">
        <v>1703</v>
      </c>
      <c r="J36" s="2" t="s">
        <v>1704</v>
      </c>
      <c r="K36" s="2" t="s">
        <v>1705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71.25">
      <c r="A37" s="2" t="s">
        <v>797</v>
      </c>
      <c r="B37" s="2" t="s">
        <v>794</v>
      </c>
      <c r="C37" s="2">
        <v>12</v>
      </c>
      <c r="D37" s="10">
        <v>5.5</v>
      </c>
      <c r="E37" s="10">
        <v>39</v>
      </c>
      <c r="F37" s="10"/>
      <c r="G37" s="10"/>
      <c r="H37" s="2" t="s">
        <v>787</v>
      </c>
      <c r="I37" s="2" t="s">
        <v>1703</v>
      </c>
      <c r="J37" s="2" t="s">
        <v>1704</v>
      </c>
      <c r="K37" s="2" t="s">
        <v>1705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71.25">
      <c r="A38" s="2" t="s">
        <v>797</v>
      </c>
      <c r="B38" s="2" t="s">
        <v>794</v>
      </c>
      <c r="C38" s="2">
        <v>13</v>
      </c>
      <c r="D38" s="10">
        <v>6</v>
      </c>
      <c r="E38" s="10">
        <v>31</v>
      </c>
      <c r="F38" s="10"/>
      <c r="G38" s="10"/>
      <c r="H38" s="2" t="s">
        <v>787</v>
      </c>
      <c r="I38" s="2" t="s">
        <v>1703</v>
      </c>
      <c r="J38" s="2" t="s">
        <v>1704</v>
      </c>
      <c r="K38" s="2" t="s">
        <v>1705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71.25">
      <c r="A39" s="2" t="s">
        <v>797</v>
      </c>
      <c r="B39" s="2" t="s">
        <v>794</v>
      </c>
      <c r="C39" s="2">
        <v>14</v>
      </c>
      <c r="D39" s="10">
        <v>6.5</v>
      </c>
      <c r="E39" s="10">
        <v>23</v>
      </c>
      <c r="F39" s="10"/>
      <c r="G39" s="10"/>
      <c r="H39" s="2" t="s">
        <v>787</v>
      </c>
      <c r="I39" s="2" t="s">
        <v>1703</v>
      </c>
      <c r="J39" s="2" t="s">
        <v>1704</v>
      </c>
      <c r="K39" s="2" t="s">
        <v>1705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71.25">
      <c r="A40" s="2" t="s">
        <v>797</v>
      </c>
      <c r="B40" s="2" t="s">
        <v>794</v>
      </c>
      <c r="C40" s="2">
        <v>15</v>
      </c>
      <c r="D40" s="10">
        <v>7</v>
      </c>
      <c r="E40" s="10">
        <v>15</v>
      </c>
      <c r="F40" s="10"/>
      <c r="G40" s="10"/>
      <c r="H40" s="2" t="s">
        <v>787</v>
      </c>
      <c r="I40" s="2" t="s">
        <v>1703</v>
      </c>
      <c r="J40" s="2" t="s">
        <v>1704</v>
      </c>
      <c r="K40" s="2" t="s">
        <v>1705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71.25">
      <c r="A41" s="2" t="s">
        <v>797</v>
      </c>
      <c r="B41" s="2" t="s">
        <v>794</v>
      </c>
      <c r="C41" s="2">
        <v>16</v>
      </c>
      <c r="D41" s="10">
        <v>7.5</v>
      </c>
      <c r="E41" s="10">
        <v>7</v>
      </c>
      <c r="F41" s="10"/>
      <c r="G41" s="10"/>
      <c r="H41" s="2" t="s">
        <v>787</v>
      </c>
      <c r="I41" s="2" t="s">
        <v>1703</v>
      </c>
      <c r="J41" s="2" t="s">
        <v>1704</v>
      </c>
      <c r="K41" s="2" t="s">
        <v>1705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71.25">
      <c r="A42" s="2" t="s">
        <v>797</v>
      </c>
      <c r="B42" s="2" t="s">
        <v>794</v>
      </c>
      <c r="C42" s="2">
        <v>17</v>
      </c>
      <c r="D42" s="10">
        <v>8</v>
      </c>
      <c r="E42" s="10">
        <v>0</v>
      </c>
      <c r="F42" s="10"/>
      <c r="G42" s="10"/>
      <c r="H42" s="2" t="s">
        <v>787</v>
      </c>
      <c r="I42" s="2" t="s">
        <v>1703</v>
      </c>
      <c r="J42" s="2" t="s">
        <v>1704</v>
      </c>
      <c r="K42" s="2" t="s">
        <v>1705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57">
      <c r="A43" s="2" t="s">
        <v>925</v>
      </c>
      <c r="B43" s="2" t="s">
        <v>921</v>
      </c>
      <c r="C43" s="2">
        <v>1</v>
      </c>
      <c r="D43" s="10">
        <v>0</v>
      </c>
      <c r="E43" s="10">
        <v>200</v>
      </c>
      <c r="F43" s="10"/>
      <c r="G43" s="10"/>
      <c r="H43" s="2" t="s">
        <v>787</v>
      </c>
      <c r="I43" s="2" t="s">
        <v>1706</v>
      </c>
      <c r="J43" s="2" t="s">
        <v>1707</v>
      </c>
      <c r="K43" s="2" t="s">
        <v>1708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57">
      <c r="A44" s="2" t="s">
        <v>925</v>
      </c>
      <c r="B44" s="2" t="s">
        <v>921</v>
      </c>
      <c r="C44" s="2">
        <v>2</v>
      </c>
      <c r="D44" s="10">
        <v>0.5</v>
      </c>
      <c r="E44" s="10">
        <v>192</v>
      </c>
      <c r="F44" s="10"/>
      <c r="G44" s="10"/>
      <c r="H44" s="2" t="s">
        <v>787</v>
      </c>
      <c r="I44" s="2" t="s">
        <v>1706</v>
      </c>
      <c r="J44" s="2" t="s">
        <v>1707</v>
      </c>
      <c r="K44" s="2" t="s">
        <v>1708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57">
      <c r="A45" s="2" t="s">
        <v>925</v>
      </c>
      <c r="B45" s="2" t="s">
        <v>921</v>
      </c>
      <c r="C45" s="2">
        <v>3</v>
      </c>
      <c r="D45" s="10">
        <v>1</v>
      </c>
      <c r="E45" s="10">
        <v>182</v>
      </c>
      <c r="F45" s="10"/>
      <c r="G45" s="10"/>
      <c r="H45" s="2" t="s">
        <v>787</v>
      </c>
      <c r="I45" s="2" t="s">
        <v>1706</v>
      </c>
      <c r="J45" s="2" t="s">
        <v>1707</v>
      </c>
      <c r="K45" s="2" t="s">
        <v>1708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57">
      <c r="A46" s="2" t="s">
        <v>925</v>
      </c>
      <c r="B46" s="2" t="s">
        <v>921</v>
      </c>
      <c r="C46" s="2">
        <v>4</v>
      </c>
      <c r="D46" s="10">
        <v>1.5</v>
      </c>
      <c r="E46" s="10">
        <v>168</v>
      </c>
      <c r="F46" s="10"/>
      <c r="G46" s="10"/>
      <c r="H46" s="2" t="s">
        <v>787</v>
      </c>
      <c r="I46" s="2" t="s">
        <v>1706</v>
      </c>
      <c r="J46" s="2" t="s">
        <v>1707</v>
      </c>
      <c r="K46" s="2" t="s">
        <v>1708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57">
      <c r="A47" s="2" t="s">
        <v>925</v>
      </c>
      <c r="B47" s="2" t="s">
        <v>921</v>
      </c>
      <c r="C47" s="2">
        <v>5</v>
      </c>
      <c r="D47" s="10">
        <v>2</v>
      </c>
      <c r="E47" s="10">
        <v>150</v>
      </c>
      <c r="F47" s="10"/>
      <c r="G47" s="10"/>
      <c r="H47" s="2" t="s">
        <v>787</v>
      </c>
      <c r="I47" s="2" t="s">
        <v>1706</v>
      </c>
      <c r="J47" s="2" t="s">
        <v>1707</v>
      </c>
      <c r="K47" s="2" t="s">
        <v>1708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57">
      <c r="A48" s="2" t="s">
        <v>925</v>
      </c>
      <c r="B48" s="2" t="s">
        <v>921</v>
      </c>
      <c r="C48" s="2">
        <v>6</v>
      </c>
      <c r="D48" s="10">
        <v>2.5</v>
      </c>
      <c r="E48" s="10">
        <v>130</v>
      </c>
      <c r="F48" s="10"/>
      <c r="G48" s="10"/>
      <c r="H48" s="2" t="s">
        <v>787</v>
      </c>
      <c r="I48" s="2" t="s">
        <v>1706</v>
      </c>
      <c r="J48" s="2" t="s">
        <v>1707</v>
      </c>
      <c r="K48" s="2" t="s">
        <v>1708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57">
      <c r="A49" s="2" t="s">
        <v>925</v>
      </c>
      <c r="B49" s="2" t="s">
        <v>921</v>
      </c>
      <c r="C49" s="2">
        <v>7</v>
      </c>
      <c r="D49" s="10">
        <v>3</v>
      </c>
      <c r="E49" s="10">
        <v>105</v>
      </c>
      <c r="F49" s="10"/>
      <c r="G49" s="10"/>
      <c r="H49" s="2" t="s">
        <v>787</v>
      </c>
      <c r="I49" s="2" t="s">
        <v>1706</v>
      </c>
      <c r="J49" s="2" t="s">
        <v>1707</v>
      </c>
      <c r="K49" s="2" t="s">
        <v>1708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57">
      <c r="A50" s="2" t="s">
        <v>925</v>
      </c>
      <c r="B50" s="2" t="s">
        <v>921</v>
      </c>
      <c r="C50" s="2">
        <v>8</v>
      </c>
      <c r="D50" s="10">
        <v>3.5</v>
      </c>
      <c r="E50" s="10">
        <v>85</v>
      </c>
      <c r="F50" s="10"/>
      <c r="G50" s="10"/>
      <c r="H50" s="2" t="s">
        <v>787</v>
      </c>
      <c r="I50" s="2" t="s">
        <v>1706</v>
      </c>
      <c r="J50" s="2" t="s">
        <v>1707</v>
      </c>
      <c r="K50" s="2" t="s">
        <v>1708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57">
      <c r="A51" s="2" t="s">
        <v>925</v>
      </c>
      <c r="B51" s="2" t="s">
        <v>921</v>
      </c>
      <c r="C51" s="2">
        <v>9</v>
      </c>
      <c r="D51" s="10">
        <v>4</v>
      </c>
      <c r="E51" s="10">
        <v>55</v>
      </c>
      <c r="F51" s="10"/>
      <c r="G51" s="10"/>
      <c r="H51" s="2" t="s">
        <v>787</v>
      </c>
      <c r="I51" s="2" t="s">
        <v>1706</v>
      </c>
      <c r="J51" s="2" t="s">
        <v>1707</v>
      </c>
      <c r="K51" s="2" t="s">
        <v>1708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57">
      <c r="A52" s="2" t="s">
        <v>925</v>
      </c>
      <c r="B52" s="2" t="s">
        <v>921</v>
      </c>
      <c r="C52" s="2">
        <v>10</v>
      </c>
      <c r="D52" s="10">
        <v>4.2</v>
      </c>
      <c r="E52" s="10">
        <v>0</v>
      </c>
      <c r="F52" s="10"/>
      <c r="G52" s="10"/>
      <c r="H52" s="2" t="s">
        <v>787</v>
      </c>
      <c r="I52" s="2" t="s">
        <v>1706</v>
      </c>
      <c r="J52" s="2" t="s">
        <v>1707</v>
      </c>
      <c r="K52" s="2" t="s">
        <v>1708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57">
      <c r="A53" s="2" t="s">
        <v>930</v>
      </c>
      <c r="B53" s="2" t="s">
        <v>927</v>
      </c>
      <c r="C53" s="2">
        <v>1</v>
      </c>
      <c r="D53" s="10">
        <v>0</v>
      </c>
      <c r="E53" s="10">
        <v>300</v>
      </c>
      <c r="F53" s="10"/>
      <c r="G53" s="10"/>
      <c r="H53" s="2" t="s">
        <v>787</v>
      </c>
      <c r="I53" s="2" t="s">
        <v>1706</v>
      </c>
      <c r="J53" s="2" t="s">
        <v>1707</v>
      </c>
      <c r="K53" s="2" t="s">
        <v>1708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57">
      <c r="A54" s="2" t="s">
        <v>930</v>
      </c>
      <c r="B54" s="2" t="s">
        <v>927</v>
      </c>
      <c r="C54" s="2">
        <v>2</v>
      </c>
      <c r="D54" s="10">
        <v>0.5</v>
      </c>
      <c r="E54" s="10">
        <v>295</v>
      </c>
      <c r="F54" s="10"/>
      <c r="G54" s="10"/>
      <c r="H54" s="2" t="s">
        <v>787</v>
      </c>
      <c r="I54" s="2" t="s">
        <v>1706</v>
      </c>
      <c r="J54" s="2" t="s">
        <v>1707</v>
      </c>
      <c r="K54" s="2" t="s">
        <v>1708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57">
      <c r="A55" s="2" t="s">
        <v>930</v>
      </c>
      <c r="B55" s="2" t="s">
        <v>927</v>
      </c>
      <c r="C55" s="2">
        <v>3</v>
      </c>
      <c r="D55" s="10">
        <v>1</v>
      </c>
      <c r="E55" s="10">
        <v>285</v>
      </c>
      <c r="F55" s="10"/>
      <c r="G55" s="10"/>
      <c r="H55" s="2" t="s">
        <v>787</v>
      </c>
      <c r="I55" s="2" t="s">
        <v>1706</v>
      </c>
      <c r="J55" s="2" t="s">
        <v>1707</v>
      </c>
      <c r="K55" s="2" t="s">
        <v>1708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57">
      <c r="A56" s="2" t="s">
        <v>930</v>
      </c>
      <c r="B56" s="2" t="s">
        <v>927</v>
      </c>
      <c r="C56" s="2">
        <v>4</v>
      </c>
      <c r="D56" s="10">
        <v>1.5</v>
      </c>
      <c r="E56" s="10">
        <v>270</v>
      </c>
      <c r="F56" s="10"/>
      <c r="G56" s="10"/>
      <c r="H56" s="2" t="s">
        <v>787</v>
      </c>
      <c r="I56" s="2" t="s">
        <v>1706</v>
      </c>
      <c r="J56" s="2" t="s">
        <v>1707</v>
      </c>
      <c r="K56" s="2" t="s">
        <v>1708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57">
      <c r="A57" s="2" t="s">
        <v>930</v>
      </c>
      <c r="B57" s="2" t="s">
        <v>927</v>
      </c>
      <c r="C57" s="2">
        <v>5</v>
      </c>
      <c r="D57" s="10">
        <v>2</v>
      </c>
      <c r="E57" s="10">
        <v>245</v>
      </c>
      <c r="F57" s="10"/>
      <c r="G57" s="10"/>
      <c r="H57" s="2" t="s">
        <v>787</v>
      </c>
      <c r="I57" s="2" t="s">
        <v>1706</v>
      </c>
      <c r="J57" s="2" t="s">
        <v>1707</v>
      </c>
      <c r="K57" s="2" t="s">
        <v>1708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57">
      <c r="A58" s="2" t="s">
        <v>930</v>
      </c>
      <c r="B58" s="2" t="s">
        <v>927</v>
      </c>
      <c r="C58" s="2">
        <v>6</v>
      </c>
      <c r="D58" s="10">
        <v>2.5</v>
      </c>
      <c r="E58" s="10">
        <v>220</v>
      </c>
      <c r="F58" s="10"/>
      <c r="G58" s="10"/>
      <c r="H58" s="2" t="s">
        <v>787</v>
      </c>
      <c r="I58" s="2" t="s">
        <v>1706</v>
      </c>
      <c r="J58" s="2" t="s">
        <v>1707</v>
      </c>
      <c r="K58" s="2" t="s">
        <v>1708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57">
      <c r="A59" s="2" t="s">
        <v>930</v>
      </c>
      <c r="B59" s="2" t="s">
        <v>927</v>
      </c>
      <c r="C59" s="2">
        <v>7</v>
      </c>
      <c r="D59" s="10">
        <v>3</v>
      </c>
      <c r="E59" s="10">
        <v>190</v>
      </c>
      <c r="F59" s="10"/>
      <c r="G59" s="10"/>
      <c r="H59" s="2" t="s">
        <v>787</v>
      </c>
      <c r="I59" s="2" t="s">
        <v>1706</v>
      </c>
      <c r="J59" s="2" t="s">
        <v>1707</v>
      </c>
      <c r="K59" s="2" t="s">
        <v>1708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57">
      <c r="A60" s="2" t="s">
        <v>930</v>
      </c>
      <c r="B60" s="2" t="s">
        <v>927</v>
      </c>
      <c r="C60" s="2">
        <v>8</v>
      </c>
      <c r="D60" s="10">
        <v>3.5</v>
      </c>
      <c r="E60" s="10">
        <v>155</v>
      </c>
      <c r="F60" s="10"/>
      <c r="G60" s="10"/>
      <c r="H60" s="2" t="s">
        <v>787</v>
      </c>
      <c r="I60" s="2" t="s">
        <v>1706</v>
      </c>
      <c r="J60" s="2" t="s">
        <v>1707</v>
      </c>
      <c r="K60" s="2" t="s">
        <v>1708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57">
      <c r="A61" s="2" t="s">
        <v>930</v>
      </c>
      <c r="B61" s="2" t="s">
        <v>927</v>
      </c>
      <c r="C61" s="2">
        <v>9</v>
      </c>
      <c r="D61" s="10">
        <v>4</v>
      </c>
      <c r="E61" s="10">
        <v>115</v>
      </c>
      <c r="F61" s="10"/>
      <c r="G61" s="10"/>
      <c r="H61" s="2" t="s">
        <v>787</v>
      </c>
      <c r="I61" s="2" t="s">
        <v>1706</v>
      </c>
      <c r="J61" s="2" t="s">
        <v>1707</v>
      </c>
      <c r="K61" s="2" t="s">
        <v>1708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57">
      <c r="A62" s="2" t="s">
        <v>930</v>
      </c>
      <c r="B62" s="2" t="s">
        <v>927</v>
      </c>
      <c r="C62" s="2">
        <v>10</v>
      </c>
      <c r="D62" s="10">
        <v>4.2</v>
      </c>
      <c r="E62" s="10">
        <v>75</v>
      </c>
      <c r="F62" s="10"/>
      <c r="G62" s="10"/>
      <c r="H62" s="2" t="s">
        <v>787</v>
      </c>
      <c r="I62" s="2" t="s">
        <v>1706</v>
      </c>
      <c r="J62" s="2" t="s">
        <v>1707</v>
      </c>
      <c r="K62" s="2" t="s">
        <v>1708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57">
      <c r="A63" s="2" t="s">
        <v>930</v>
      </c>
      <c r="B63" s="2" t="s">
        <v>927</v>
      </c>
      <c r="C63" s="2">
        <v>11</v>
      </c>
      <c r="D63" s="10">
        <v>4.4000000000000004</v>
      </c>
      <c r="E63" s="10">
        <v>0</v>
      </c>
      <c r="F63" s="10"/>
      <c r="G63" s="10"/>
      <c r="H63" s="2" t="s">
        <v>787</v>
      </c>
      <c r="I63" s="2" t="s">
        <v>1706</v>
      </c>
      <c r="J63" s="2" t="s">
        <v>1707</v>
      </c>
      <c r="K63" s="2" t="s">
        <v>1708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57">
      <c r="A64" s="2" t="s">
        <v>935</v>
      </c>
      <c r="B64" s="2" t="s">
        <v>932</v>
      </c>
      <c r="C64" s="2">
        <v>1</v>
      </c>
      <c r="D64" s="10">
        <v>0</v>
      </c>
      <c r="E64" s="10">
        <v>150</v>
      </c>
      <c r="F64" s="10"/>
      <c r="G64" s="10"/>
      <c r="H64" s="2" t="s">
        <v>787</v>
      </c>
      <c r="I64" s="2" t="s">
        <v>1706</v>
      </c>
      <c r="J64" s="2" t="s">
        <v>1707</v>
      </c>
      <c r="K64" s="2" t="s">
        <v>1708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57">
      <c r="A65" s="2" t="s">
        <v>935</v>
      </c>
      <c r="B65" s="2" t="s">
        <v>932</v>
      </c>
      <c r="C65" s="2">
        <v>2</v>
      </c>
      <c r="D65" s="10">
        <v>1</v>
      </c>
      <c r="E65" s="10">
        <v>135</v>
      </c>
      <c r="F65" s="10"/>
      <c r="G65" s="10"/>
      <c r="H65" s="2" t="s">
        <v>787</v>
      </c>
      <c r="I65" s="2" t="s">
        <v>1706</v>
      </c>
      <c r="J65" s="2" t="s">
        <v>1707</v>
      </c>
      <c r="K65" s="2" t="s">
        <v>1708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57">
      <c r="A66" s="2" t="s">
        <v>935</v>
      </c>
      <c r="B66" s="2" t="s">
        <v>932</v>
      </c>
      <c r="C66" s="2">
        <v>3</v>
      </c>
      <c r="D66" s="10">
        <v>2</v>
      </c>
      <c r="E66" s="10">
        <v>110</v>
      </c>
      <c r="F66" s="10"/>
      <c r="G66" s="10"/>
      <c r="H66" s="2" t="s">
        <v>787</v>
      </c>
      <c r="I66" s="2" t="s">
        <v>1706</v>
      </c>
      <c r="J66" s="2" t="s">
        <v>1707</v>
      </c>
      <c r="K66" s="2" t="s">
        <v>1708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57">
      <c r="A67" s="2" t="s">
        <v>935</v>
      </c>
      <c r="B67" s="2" t="s">
        <v>932</v>
      </c>
      <c r="C67" s="2">
        <v>4</v>
      </c>
      <c r="D67" s="10">
        <v>3</v>
      </c>
      <c r="E67" s="10">
        <v>90</v>
      </c>
      <c r="F67" s="10"/>
      <c r="G67" s="10"/>
      <c r="H67" s="2" t="s">
        <v>787</v>
      </c>
      <c r="I67" s="2" t="s">
        <v>1706</v>
      </c>
      <c r="J67" s="2" t="s">
        <v>1707</v>
      </c>
      <c r="K67" s="2" t="s">
        <v>1708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57">
      <c r="A68" s="2" t="s">
        <v>935</v>
      </c>
      <c r="B68" s="2" t="s">
        <v>932</v>
      </c>
      <c r="C68" s="2">
        <v>5</v>
      </c>
      <c r="D68" s="10">
        <v>4</v>
      </c>
      <c r="E68" s="10">
        <v>70</v>
      </c>
      <c r="F68" s="10"/>
      <c r="G68" s="10"/>
      <c r="H68" s="2" t="s">
        <v>787</v>
      </c>
      <c r="I68" s="2" t="s">
        <v>1706</v>
      </c>
      <c r="J68" s="2" t="s">
        <v>1707</v>
      </c>
      <c r="K68" s="2" t="s">
        <v>1708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57">
      <c r="A69" s="2" t="s">
        <v>935</v>
      </c>
      <c r="B69" s="2" t="s">
        <v>932</v>
      </c>
      <c r="C69" s="2">
        <v>6</v>
      </c>
      <c r="D69" s="10">
        <v>5</v>
      </c>
      <c r="E69" s="10">
        <v>55</v>
      </c>
      <c r="F69" s="10"/>
      <c r="G69" s="10"/>
      <c r="H69" s="2" t="s">
        <v>787</v>
      </c>
      <c r="I69" s="2" t="s">
        <v>1706</v>
      </c>
      <c r="J69" s="2" t="s">
        <v>1707</v>
      </c>
      <c r="K69" s="2" t="s">
        <v>1708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57">
      <c r="A70" s="2" t="s">
        <v>935</v>
      </c>
      <c r="B70" s="2" t="s">
        <v>932</v>
      </c>
      <c r="C70" s="2">
        <v>7</v>
      </c>
      <c r="D70" s="10">
        <v>6</v>
      </c>
      <c r="E70" s="10">
        <v>35</v>
      </c>
      <c r="F70" s="10"/>
      <c r="G70" s="10"/>
      <c r="H70" s="2" t="s">
        <v>787</v>
      </c>
      <c r="I70" s="2" t="s">
        <v>1706</v>
      </c>
      <c r="J70" s="2" t="s">
        <v>1707</v>
      </c>
      <c r="K70" s="2" t="s">
        <v>1708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57">
      <c r="A71" s="2" t="s">
        <v>935</v>
      </c>
      <c r="B71" s="2" t="s">
        <v>932</v>
      </c>
      <c r="C71" s="2">
        <v>8</v>
      </c>
      <c r="D71" s="10">
        <v>6.5</v>
      </c>
      <c r="E71" s="10">
        <v>15</v>
      </c>
      <c r="F71" s="10"/>
      <c r="G71" s="10"/>
      <c r="H71" s="2" t="s">
        <v>787</v>
      </c>
      <c r="I71" s="2" t="s">
        <v>1706</v>
      </c>
      <c r="J71" s="2" t="s">
        <v>1707</v>
      </c>
      <c r="K71" s="2" t="s">
        <v>1708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57">
      <c r="A72" s="2" t="s">
        <v>935</v>
      </c>
      <c r="B72" s="2" t="s">
        <v>932</v>
      </c>
      <c r="C72" s="2">
        <v>9</v>
      </c>
      <c r="D72" s="10">
        <v>6.8</v>
      </c>
      <c r="E72" s="10">
        <v>0</v>
      </c>
      <c r="F72" s="10"/>
      <c r="G72" s="10"/>
      <c r="H72" s="2" t="s">
        <v>787</v>
      </c>
      <c r="I72" s="2" t="s">
        <v>1706</v>
      </c>
      <c r="J72" s="2" t="s">
        <v>1707</v>
      </c>
      <c r="K72" s="2" t="s">
        <v>1708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57">
      <c r="A73" s="2" t="s">
        <v>940</v>
      </c>
      <c r="B73" s="2" t="s">
        <v>937</v>
      </c>
      <c r="C73" s="2">
        <v>1</v>
      </c>
      <c r="D73" s="10">
        <v>0</v>
      </c>
      <c r="E73" s="10">
        <v>220</v>
      </c>
      <c r="F73" s="10"/>
      <c r="G73" s="10"/>
      <c r="H73" s="2" t="s">
        <v>787</v>
      </c>
      <c r="I73" s="2" t="s">
        <v>1706</v>
      </c>
      <c r="J73" s="2" t="s">
        <v>1707</v>
      </c>
      <c r="K73" s="2" t="s">
        <v>1708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57">
      <c r="A74" s="2" t="s">
        <v>940</v>
      </c>
      <c r="B74" s="2" t="s">
        <v>937</v>
      </c>
      <c r="C74" s="2">
        <v>2</v>
      </c>
      <c r="D74" s="10">
        <v>1</v>
      </c>
      <c r="E74" s="10">
        <v>200</v>
      </c>
      <c r="F74" s="10"/>
      <c r="G74" s="10"/>
      <c r="H74" s="2" t="s">
        <v>787</v>
      </c>
      <c r="I74" s="2" t="s">
        <v>1706</v>
      </c>
      <c r="J74" s="2" t="s">
        <v>1707</v>
      </c>
      <c r="K74" s="2" t="s">
        <v>1708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57">
      <c r="A75" s="2" t="s">
        <v>940</v>
      </c>
      <c r="B75" s="2" t="s">
        <v>937</v>
      </c>
      <c r="C75" s="2">
        <v>3</v>
      </c>
      <c r="D75" s="10">
        <v>2</v>
      </c>
      <c r="E75" s="10">
        <v>175</v>
      </c>
      <c r="F75" s="10"/>
      <c r="G75" s="10"/>
      <c r="H75" s="2" t="s">
        <v>787</v>
      </c>
      <c r="I75" s="2" t="s">
        <v>1706</v>
      </c>
      <c r="J75" s="2" t="s">
        <v>1707</v>
      </c>
      <c r="K75" s="2" t="s">
        <v>1708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57">
      <c r="A76" s="2" t="s">
        <v>940</v>
      </c>
      <c r="B76" s="2" t="s">
        <v>937</v>
      </c>
      <c r="C76" s="2">
        <v>4</v>
      </c>
      <c r="D76" s="10">
        <v>3</v>
      </c>
      <c r="E76" s="10">
        <v>145</v>
      </c>
      <c r="F76" s="10"/>
      <c r="G76" s="10"/>
      <c r="H76" s="2" t="s">
        <v>787</v>
      </c>
      <c r="I76" s="2" t="s">
        <v>1706</v>
      </c>
      <c r="J76" s="2" t="s">
        <v>1707</v>
      </c>
      <c r="K76" s="2" t="s">
        <v>1708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57">
      <c r="A77" s="2" t="s">
        <v>940</v>
      </c>
      <c r="B77" s="2" t="s">
        <v>937</v>
      </c>
      <c r="C77" s="2">
        <v>5</v>
      </c>
      <c r="D77" s="10">
        <v>4</v>
      </c>
      <c r="E77" s="10">
        <v>115</v>
      </c>
      <c r="F77" s="10"/>
      <c r="G77" s="10"/>
      <c r="H77" s="2" t="s">
        <v>787</v>
      </c>
      <c r="I77" s="2" t="s">
        <v>1706</v>
      </c>
      <c r="J77" s="2" t="s">
        <v>1707</v>
      </c>
      <c r="K77" s="2" t="s">
        <v>1708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57">
      <c r="A78" s="2" t="s">
        <v>940</v>
      </c>
      <c r="B78" s="2" t="s">
        <v>937</v>
      </c>
      <c r="C78" s="2">
        <v>6</v>
      </c>
      <c r="D78" s="10">
        <v>5</v>
      </c>
      <c r="E78" s="10">
        <v>90</v>
      </c>
      <c r="F78" s="10"/>
      <c r="G78" s="10"/>
      <c r="H78" s="2" t="s">
        <v>787</v>
      </c>
      <c r="I78" s="2" t="s">
        <v>1706</v>
      </c>
      <c r="J78" s="2" t="s">
        <v>1707</v>
      </c>
      <c r="K78" s="2" t="s">
        <v>1708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57">
      <c r="A79" s="2" t="s">
        <v>940</v>
      </c>
      <c r="B79" s="2" t="s">
        <v>937</v>
      </c>
      <c r="C79" s="2">
        <v>7</v>
      </c>
      <c r="D79" s="10">
        <v>6</v>
      </c>
      <c r="E79" s="10">
        <v>60</v>
      </c>
      <c r="F79" s="10"/>
      <c r="G79" s="10"/>
      <c r="H79" s="2" t="s">
        <v>787</v>
      </c>
      <c r="I79" s="2" t="s">
        <v>1706</v>
      </c>
      <c r="J79" s="2" t="s">
        <v>1707</v>
      </c>
      <c r="K79" s="2" t="s">
        <v>1708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57">
      <c r="A80" s="2" t="s">
        <v>940</v>
      </c>
      <c r="B80" s="2" t="s">
        <v>937</v>
      </c>
      <c r="C80" s="2">
        <v>8</v>
      </c>
      <c r="D80" s="10">
        <v>6.5</v>
      </c>
      <c r="E80" s="10">
        <v>35</v>
      </c>
      <c r="F80" s="10"/>
      <c r="G80" s="10"/>
      <c r="H80" s="2" t="s">
        <v>787</v>
      </c>
      <c r="I80" s="2" t="s">
        <v>1706</v>
      </c>
      <c r="J80" s="2" t="s">
        <v>1707</v>
      </c>
      <c r="K80" s="2" t="s">
        <v>1708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57">
      <c r="A81" s="2" t="s">
        <v>940</v>
      </c>
      <c r="B81" s="2" t="s">
        <v>937</v>
      </c>
      <c r="C81" s="2">
        <v>9</v>
      </c>
      <c r="D81" s="10">
        <v>6.8</v>
      </c>
      <c r="E81" s="10">
        <v>0</v>
      </c>
      <c r="F81" s="10"/>
      <c r="G81" s="10"/>
      <c r="H81" s="2" t="s">
        <v>787</v>
      </c>
      <c r="I81" s="2" t="s">
        <v>1706</v>
      </c>
      <c r="J81" s="2" t="s">
        <v>1707</v>
      </c>
      <c r="K81" s="2" t="s">
        <v>1708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57">
      <c r="A82" s="2" t="s">
        <v>945</v>
      </c>
      <c r="B82" s="2" t="s">
        <v>942</v>
      </c>
      <c r="C82" s="2">
        <v>1</v>
      </c>
      <c r="D82" s="10">
        <v>0</v>
      </c>
      <c r="E82" s="10">
        <v>280</v>
      </c>
      <c r="F82" s="10"/>
      <c r="G82" s="10"/>
      <c r="H82" s="2" t="s">
        <v>787</v>
      </c>
      <c r="I82" s="2" t="s">
        <v>1706</v>
      </c>
      <c r="J82" s="2" t="s">
        <v>1707</v>
      </c>
      <c r="K82" s="2" t="s">
        <v>1708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57">
      <c r="A83" s="2" t="s">
        <v>945</v>
      </c>
      <c r="B83" s="2" t="s">
        <v>942</v>
      </c>
      <c r="C83" s="2">
        <v>2</v>
      </c>
      <c r="D83" s="10">
        <v>1</v>
      </c>
      <c r="E83" s="10">
        <v>260</v>
      </c>
      <c r="F83" s="10"/>
      <c r="G83" s="10"/>
      <c r="H83" s="2" t="s">
        <v>787</v>
      </c>
      <c r="I83" s="2" t="s">
        <v>1706</v>
      </c>
      <c r="J83" s="2" t="s">
        <v>1707</v>
      </c>
      <c r="K83" s="2" t="s">
        <v>1708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57">
      <c r="A84" s="2" t="s">
        <v>945</v>
      </c>
      <c r="B84" s="2" t="s">
        <v>942</v>
      </c>
      <c r="C84" s="2">
        <v>3</v>
      </c>
      <c r="D84" s="10">
        <v>2</v>
      </c>
      <c r="E84" s="10">
        <v>230</v>
      </c>
      <c r="F84" s="10"/>
      <c r="G84" s="10"/>
      <c r="H84" s="2" t="s">
        <v>787</v>
      </c>
      <c r="I84" s="2" t="s">
        <v>1706</v>
      </c>
      <c r="J84" s="2" t="s">
        <v>1707</v>
      </c>
      <c r="K84" s="2" t="s">
        <v>1708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57">
      <c r="A85" s="2" t="s">
        <v>945</v>
      </c>
      <c r="B85" s="2" t="s">
        <v>942</v>
      </c>
      <c r="C85" s="2">
        <v>4</v>
      </c>
      <c r="D85" s="10">
        <v>3</v>
      </c>
      <c r="E85" s="10">
        <v>195</v>
      </c>
      <c r="F85" s="10"/>
      <c r="G85" s="10"/>
      <c r="H85" s="2" t="s">
        <v>787</v>
      </c>
      <c r="I85" s="2" t="s">
        <v>1706</v>
      </c>
      <c r="J85" s="2" t="s">
        <v>1707</v>
      </c>
      <c r="K85" s="2" t="s">
        <v>1708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57">
      <c r="A86" s="2" t="s">
        <v>945</v>
      </c>
      <c r="B86" s="2" t="s">
        <v>942</v>
      </c>
      <c r="C86" s="2">
        <v>5</v>
      </c>
      <c r="D86" s="10">
        <v>4</v>
      </c>
      <c r="E86" s="10">
        <v>155</v>
      </c>
      <c r="F86" s="10"/>
      <c r="G86" s="10"/>
      <c r="H86" s="2" t="s">
        <v>787</v>
      </c>
      <c r="I86" s="2" t="s">
        <v>1706</v>
      </c>
      <c r="J86" s="2" t="s">
        <v>1707</v>
      </c>
      <c r="K86" s="2" t="s">
        <v>1708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57">
      <c r="A87" s="2" t="s">
        <v>945</v>
      </c>
      <c r="B87" s="2" t="s">
        <v>942</v>
      </c>
      <c r="C87" s="2">
        <v>6</v>
      </c>
      <c r="D87" s="10">
        <v>5</v>
      </c>
      <c r="E87" s="10">
        <v>115</v>
      </c>
      <c r="F87" s="10"/>
      <c r="G87" s="10"/>
      <c r="H87" s="2" t="s">
        <v>787</v>
      </c>
      <c r="I87" s="2" t="s">
        <v>1706</v>
      </c>
      <c r="J87" s="2" t="s">
        <v>1707</v>
      </c>
      <c r="K87" s="2" t="s">
        <v>1708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57">
      <c r="A88" s="2" t="s">
        <v>945</v>
      </c>
      <c r="B88" s="2" t="s">
        <v>942</v>
      </c>
      <c r="C88" s="2">
        <v>7</v>
      </c>
      <c r="D88" s="10">
        <v>6</v>
      </c>
      <c r="E88" s="10">
        <v>70</v>
      </c>
      <c r="F88" s="10"/>
      <c r="G88" s="10"/>
      <c r="H88" s="2" t="s">
        <v>787</v>
      </c>
      <c r="I88" s="2" t="s">
        <v>1706</v>
      </c>
      <c r="J88" s="2" t="s">
        <v>1707</v>
      </c>
      <c r="K88" s="2" t="s">
        <v>1708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57">
      <c r="A89" s="2" t="s">
        <v>945</v>
      </c>
      <c r="B89" s="2" t="s">
        <v>942</v>
      </c>
      <c r="C89" s="2">
        <v>8</v>
      </c>
      <c r="D89" s="10">
        <v>6.5</v>
      </c>
      <c r="E89" s="10">
        <v>35</v>
      </c>
      <c r="F89" s="10"/>
      <c r="G89" s="10"/>
      <c r="H89" s="2" t="s">
        <v>787</v>
      </c>
      <c r="I89" s="2" t="s">
        <v>1706</v>
      </c>
      <c r="J89" s="2" t="s">
        <v>1707</v>
      </c>
      <c r="K89" s="2" t="s">
        <v>1708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57">
      <c r="A90" s="2" t="s">
        <v>945</v>
      </c>
      <c r="B90" s="2" t="s">
        <v>942</v>
      </c>
      <c r="C90" s="2">
        <v>9</v>
      </c>
      <c r="D90" s="10">
        <v>6.9</v>
      </c>
      <c r="E90" s="10">
        <v>0</v>
      </c>
      <c r="F90" s="10"/>
      <c r="G90" s="10"/>
      <c r="H90" s="2" t="s">
        <v>787</v>
      </c>
      <c r="I90" s="2" t="s">
        <v>1706</v>
      </c>
      <c r="J90" s="2" t="s">
        <v>1707</v>
      </c>
      <c r="K90" s="2" t="s">
        <v>1708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57">
      <c r="A91" s="2" t="s">
        <v>950</v>
      </c>
      <c r="B91" s="2" t="s">
        <v>947</v>
      </c>
      <c r="C91" s="2">
        <v>1</v>
      </c>
      <c r="D91" s="10">
        <v>0</v>
      </c>
      <c r="E91" s="10">
        <v>80</v>
      </c>
      <c r="F91" s="10"/>
      <c r="G91" s="10"/>
      <c r="H91" s="2" t="s">
        <v>787</v>
      </c>
      <c r="I91" s="2" t="s">
        <v>1706</v>
      </c>
      <c r="J91" s="2" t="s">
        <v>1707</v>
      </c>
      <c r="K91" s="2" t="s">
        <v>1708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57">
      <c r="A92" s="2" t="s">
        <v>950</v>
      </c>
      <c r="B92" s="2" t="s">
        <v>947</v>
      </c>
      <c r="C92" s="2">
        <v>2</v>
      </c>
      <c r="D92" s="10">
        <v>1</v>
      </c>
      <c r="E92" s="10">
        <v>79</v>
      </c>
      <c r="F92" s="10"/>
      <c r="G92" s="10"/>
      <c r="H92" s="2" t="s">
        <v>787</v>
      </c>
      <c r="I92" s="2" t="s">
        <v>1706</v>
      </c>
      <c r="J92" s="2" t="s">
        <v>1707</v>
      </c>
      <c r="K92" s="2" t="s">
        <v>1708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57">
      <c r="A93" s="2" t="s">
        <v>950</v>
      </c>
      <c r="B93" s="2" t="s">
        <v>947</v>
      </c>
      <c r="C93" s="2">
        <v>3</v>
      </c>
      <c r="D93" s="10">
        <v>2</v>
      </c>
      <c r="E93" s="10">
        <v>77</v>
      </c>
      <c r="F93" s="10"/>
      <c r="G93" s="10"/>
      <c r="H93" s="2" t="s">
        <v>787</v>
      </c>
      <c r="I93" s="2" t="s">
        <v>1706</v>
      </c>
      <c r="J93" s="2" t="s">
        <v>1707</v>
      </c>
      <c r="K93" s="2" t="s">
        <v>1708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57">
      <c r="A94" s="2" t="s">
        <v>950</v>
      </c>
      <c r="B94" s="2" t="s">
        <v>947</v>
      </c>
      <c r="C94" s="2">
        <v>4</v>
      </c>
      <c r="D94" s="10">
        <v>3</v>
      </c>
      <c r="E94" s="10">
        <v>72</v>
      </c>
      <c r="F94" s="10"/>
      <c r="G94" s="10"/>
      <c r="H94" s="2" t="s">
        <v>787</v>
      </c>
      <c r="I94" s="2" t="s">
        <v>1706</v>
      </c>
      <c r="J94" s="2" t="s">
        <v>1707</v>
      </c>
      <c r="K94" s="2" t="s">
        <v>1708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57">
      <c r="A95" s="2" t="s">
        <v>950</v>
      </c>
      <c r="B95" s="2" t="s">
        <v>947</v>
      </c>
      <c r="C95" s="2">
        <v>5</v>
      </c>
      <c r="D95" s="10">
        <v>4</v>
      </c>
      <c r="E95" s="10">
        <v>66</v>
      </c>
      <c r="F95" s="10"/>
      <c r="G95" s="10"/>
      <c r="H95" s="2" t="s">
        <v>787</v>
      </c>
      <c r="I95" s="2" t="s">
        <v>1706</v>
      </c>
      <c r="J95" s="2" t="s">
        <v>1707</v>
      </c>
      <c r="K95" s="2" t="s">
        <v>1708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57">
      <c r="A96" s="2" t="s">
        <v>950</v>
      </c>
      <c r="B96" s="2" t="s">
        <v>947</v>
      </c>
      <c r="C96" s="2">
        <v>6</v>
      </c>
      <c r="D96" s="10">
        <v>5</v>
      </c>
      <c r="E96" s="10">
        <v>58</v>
      </c>
      <c r="F96" s="10"/>
      <c r="G96" s="10"/>
      <c r="H96" s="2" t="s">
        <v>787</v>
      </c>
      <c r="I96" s="2" t="s">
        <v>1706</v>
      </c>
      <c r="J96" s="2" t="s">
        <v>1707</v>
      </c>
      <c r="K96" s="2" t="s">
        <v>1708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57">
      <c r="A97" s="2" t="s">
        <v>950</v>
      </c>
      <c r="B97" s="2" t="s">
        <v>947</v>
      </c>
      <c r="C97" s="2">
        <v>7</v>
      </c>
      <c r="D97" s="10">
        <v>6</v>
      </c>
      <c r="E97" s="10">
        <v>50</v>
      </c>
      <c r="F97" s="10"/>
      <c r="G97" s="10"/>
      <c r="H97" s="2" t="s">
        <v>787</v>
      </c>
      <c r="I97" s="2" t="s">
        <v>1706</v>
      </c>
      <c r="J97" s="2" t="s">
        <v>1707</v>
      </c>
      <c r="K97" s="2" t="s">
        <v>1708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57">
      <c r="A98" s="2" t="s">
        <v>950</v>
      </c>
      <c r="B98" s="2" t="s">
        <v>947</v>
      </c>
      <c r="C98" s="2">
        <v>8</v>
      </c>
      <c r="D98" s="10">
        <v>7</v>
      </c>
      <c r="E98" s="10">
        <v>40</v>
      </c>
      <c r="F98" s="10"/>
      <c r="G98" s="10"/>
      <c r="H98" s="2" t="s">
        <v>787</v>
      </c>
      <c r="I98" s="2" t="s">
        <v>1706</v>
      </c>
      <c r="J98" s="2" t="s">
        <v>1707</v>
      </c>
      <c r="K98" s="2" t="s">
        <v>1708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57">
      <c r="A99" s="2" t="s">
        <v>950</v>
      </c>
      <c r="B99" s="2" t="s">
        <v>947</v>
      </c>
      <c r="C99" s="2">
        <v>9</v>
      </c>
      <c r="D99" s="10">
        <v>8</v>
      </c>
      <c r="E99" s="10">
        <v>30</v>
      </c>
      <c r="F99" s="10"/>
      <c r="G99" s="10"/>
      <c r="H99" s="2" t="s">
        <v>787</v>
      </c>
      <c r="I99" s="2" t="s">
        <v>1706</v>
      </c>
      <c r="J99" s="2" t="s">
        <v>1707</v>
      </c>
      <c r="K99" s="2" t="s">
        <v>1708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57">
      <c r="A100" s="2" t="s">
        <v>950</v>
      </c>
      <c r="B100" s="2" t="s">
        <v>947</v>
      </c>
      <c r="C100" s="2">
        <v>10</v>
      </c>
      <c r="D100" s="10">
        <v>9</v>
      </c>
      <c r="E100" s="10">
        <v>18</v>
      </c>
      <c r="F100" s="10"/>
      <c r="G100" s="10"/>
      <c r="H100" s="2" t="s">
        <v>787</v>
      </c>
      <c r="I100" s="2" t="s">
        <v>1706</v>
      </c>
      <c r="J100" s="2" t="s">
        <v>1707</v>
      </c>
      <c r="K100" s="2" t="s">
        <v>1708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57">
      <c r="A101" s="2" t="s">
        <v>950</v>
      </c>
      <c r="B101" s="2" t="s">
        <v>947</v>
      </c>
      <c r="C101" s="2">
        <v>11</v>
      </c>
      <c r="D101" s="10">
        <v>9.5</v>
      </c>
      <c r="E101" s="10">
        <v>0</v>
      </c>
      <c r="F101" s="10"/>
      <c r="G101" s="10"/>
      <c r="H101" s="2" t="s">
        <v>787</v>
      </c>
      <c r="I101" s="2" t="s">
        <v>1706</v>
      </c>
      <c r="J101" s="2" t="s">
        <v>1707</v>
      </c>
      <c r="K101" s="2" t="s">
        <v>1708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57">
      <c r="A102" s="2" t="s">
        <v>955</v>
      </c>
      <c r="B102" s="2" t="s">
        <v>952</v>
      </c>
      <c r="C102" s="2">
        <v>1</v>
      </c>
      <c r="D102" s="10">
        <v>0</v>
      </c>
      <c r="E102" s="10">
        <v>120</v>
      </c>
      <c r="F102" s="10"/>
      <c r="G102" s="10"/>
      <c r="H102" s="2" t="s">
        <v>787</v>
      </c>
      <c r="I102" s="2" t="s">
        <v>1706</v>
      </c>
      <c r="J102" s="2" t="s">
        <v>1707</v>
      </c>
      <c r="K102" s="2" t="s">
        <v>1708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57">
      <c r="A103" s="2" t="s">
        <v>955</v>
      </c>
      <c r="B103" s="2" t="s">
        <v>952</v>
      </c>
      <c r="C103" s="2">
        <v>2</v>
      </c>
      <c r="D103" s="10">
        <v>1</v>
      </c>
      <c r="E103" s="10">
        <v>118</v>
      </c>
      <c r="F103" s="10"/>
      <c r="G103" s="10"/>
      <c r="H103" s="2" t="s">
        <v>787</v>
      </c>
      <c r="I103" s="2" t="s">
        <v>1706</v>
      </c>
      <c r="J103" s="2" t="s">
        <v>1707</v>
      </c>
      <c r="K103" s="2" t="s">
        <v>1708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57">
      <c r="A104" s="2" t="s">
        <v>955</v>
      </c>
      <c r="B104" s="2" t="s">
        <v>952</v>
      </c>
      <c r="C104" s="2">
        <v>3</v>
      </c>
      <c r="D104" s="10">
        <v>2</v>
      </c>
      <c r="E104" s="10">
        <v>115</v>
      </c>
      <c r="F104" s="10"/>
      <c r="G104" s="10"/>
      <c r="H104" s="2" t="s">
        <v>787</v>
      </c>
      <c r="I104" s="2" t="s">
        <v>1706</v>
      </c>
      <c r="J104" s="2" t="s">
        <v>1707</v>
      </c>
      <c r="K104" s="2" t="s">
        <v>1708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57">
      <c r="A105" s="2" t="s">
        <v>955</v>
      </c>
      <c r="B105" s="2" t="s">
        <v>952</v>
      </c>
      <c r="C105" s="2">
        <v>4</v>
      </c>
      <c r="D105" s="10">
        <v>3</v>
      </c>
      <c r="E105" s="10">
        <v>110</v>
      </c>
      <c r="F105" s="10"/>
      <c r="G105" s="10"/>
      <c r="H105" s="2" t="s">
        <v>787</v>
      </c>
      <c r="I105" s="2" t="s">
        <v>1706</v>
      </c>
      <c r="J105" s="2" t="s">
        <v>1707</v>
      </c>
      <c r="K105" s="2" t="s">
        <v>1708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57">
      <c r="A106" s="2" t="s">
        <v>955</v>
      </c>
      <c r="B106" s="2" t="s">
        <v>952</v>
      </c>
      <c r="C106" s="2">
        <v>5</v>
      </c>
      <c r="D106" s="10">
        <v>4</v>
      </c>
      <c r="E106" s="10">
        <v>100</v>
      </c>
      <c r="F106" s="10"/>
      <c r="G106" s="10"/>
      <c r="H106" s="2" t="s">
        <v>787</v>
      </c>
      <c r="I106" s="2" t="s">
        <v>1706</v>
      </c>
      <c r="J106" s="2" t="s">
        <v>1707</v>
      </c>
      <c r="K106" s="2" t="s">
        <v>1708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57">
      <c r="A107" s="2" t="s">
        <v>955</v>
      </c>
      <c r="B107" s="2" t="s">
        <v>952</v>
      </c>
      <c r="C107" s="2">
        <v>6</v>
      </c>
      <c r="D107" s="10">
        <v>5</v>
      </c>
      <c r="E107" s="10">
        <v>90</v>
      </c>
      <c r="F107" s="10"/>
      <c r="G107" s="10"/>
      <c r="H107" s="2" t="s">
        <v>787</v>
      </c>
      <c r="I107" s="2" t="s">
        <v>1706</v>
      </c>
      <c r="J107" s="2" t="s">
        <v>1707</v>
      </c>
      <c r="K107" s="2" t="s">
        <v>1708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57">
      <c r="A108" s="2" t="s">
        <v>955</v>
      </c>
      <c r="B108" s="2" t="s">
        <v>952</v>
      </c>
      <c r="C108" s="2">
        <v>7</v>
      </c>
      <c r="D108" s="10">
        <v>6</v>
      </c>
      <c r="E108" s="10">
        <v>78</v>
      </c>
      <c r="F108" s="10"/>
      <c r="G108" s="10"/>
      <c r="H108" s="2" t="s">
        <v>787</v>
      </c>
      <c r="I108" s="2" t="s">
        <v>1706</v>
      </c>
      <c r="J108" s="2" t="s">
        <v>1707</v>
      </c>
      <c r="K108" s="2" t="s">
        <v>1708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57">
      <c r="A109" s="2" t="s">
        <v>955</v>
      </c>
      <c r="B109" s="2" t="s">
        <v>952</v>
      </c>
      <c r="C109" s="2">
        <v>8</v>
      </c>
      <c r="D109" s="10">
        <v>7</v>
      </c>
      <c r="E109" s="10">
        <v>64</v>
      </c>
      <c r="F109" s="10"/>
      <c r="G109" s="10"/>
      <c r="H109" s="2" t="s">
        <v>787</v>
      </c>
      <c r="I109" s="2" t="s">
        <v>1706</v>
      </c>
      <c r="J109" s="2" t="s">
        <v>1707</v>
      </c>
      <c r="K109" s="2" t="s">
        <v>1708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57">
      <c r="A110" s="2" t="s">
        <v>955</v>
      </c>
      <c r="B110" s="2" t="s">
        <v>952</v>
      </c>
      <c r="C110" s="2">
        <v>9</v>
      </c>
      <c r="D110" s="10">
        <v>8</v>
      </c>
      <c r="E110" s="10">
        <v>48</v>
      </c>
      <c r="F110" s="10"/>
      <c r="G110" s="10"/>
      <c r="H110" s="2" t="s">
        <v>787</v>
      </c>
      <c r="I110" s="2" t="s">
        <v>1706</v>
      </c>
      <c r="J110" s="2" t="s">
        <v>1707</v>
      </c>
      <c r="K110" s="2" t="s">
        <v>1708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57">
      <c r="A111" s="2" t="s">
        <v>955</v>
      </c>
      <c r="B111" s="2" t="s">
        <v>952</v>
      </c>
      <c r="C111" s="2">
        <v>10</v>
      </c>
      <c r="D111" s="10">
        <v>9</v>
      </c>
      <c r="E111" s="10">
        <v>30</v>
      </c>
      <c r="F111" s="10"/>
      <c r="G111" s="10"/>
      <c r="H111" s="2" t="s">
        <v>787</v>
      </c>
      <c r="I111" s="2" t="s">
        <v>1706</v>
      </c>
      <c r="J111" s="2" t="s">
        <v>1707</v>
      </c>
      <c r="K111" s="2" t="s">
        <v>1708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57">
      <c r="A112" s="2" t="s">
        <v>955</v>
      </c>
      <c r="B112" s="2" t="s">
        <v>952</v>
      </c>
      <c r="C112" s="2">
        <v>11</v>
      </c>
      <c r="D112" s="10">
        <v>10</v>
      </c>
      <c r="E112" s="10">
        <v>15</v>
      </c>
      <c r="F112" s="10"/>
      <c r="G112" s="10"/>
      <c r="H112" s="2" t="s">
        <v>787</v>
      </c>
      <c r="I112" s="2" t="s">
        <v>1706</v>
      </c>
      <c r="J112" s="2" t="s">
        <v>1707</v>
      </c>
      <c r="K112" s="2" t="s">
        <v>1708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57">
      <c r="A113" s="2" t="s">
        <v>955</v>
      </c>
      <c r="B113" s="2" t="s">
        <v>952</v>
      </c>
      <c r="C113" s="2">
        <v>12</v>
      </c>
      <c r="D113" s="10">
        <v>10.5</v>
      </c>
      <c r="E113" s="10">
        <v>0</v>
      </c>
      <c r="F113" s="10"/>
      <c r="G113" s="10"/>
      <c r="H113" s="2" t="s">
        <v>787</v>
      </c>
      <c r="I113" s="2" t="s">
        <v>1706</v>
      </c>
      <c r="J113" s="2" t="s">
        <v>1707</v>
      </c>
      <c r="K113" s="2" t="s">
        <v>1708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57">
      <c r="A114" s="2" t="s">
        <v>960</v>
      </c>
      <c r="B114" s="2" t="s">
        <v>957</v>
      </c>
      <c r="C114" s="2">
        <v>1</v>
      </c>
      <c r="D114" s="10">
        <v>0</v>
      </c>
      <c r="E114" s="10">
        <v>220</v>
      </c>
      <c r="F114" s="10"/>
      <c r="G114" s="10"/>
      <c r="H114" s="2" t="s">
        <v>787</v>
      </c>
      <c r="I114" s="2" t="s">
        <v>1706</v>
      </c>
      <c r="J114" s="2" t="s">
        <v>1707</v>
      </c>
      <c r="K114" s="2" t="s">
        <v>1708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57">
      <c r="A115" s="2" t="s">
        <v>960</v>
      </c>
      <c r="B115" s="2" t="s">
        <v>957</v>
      </c>
      <c r="C115" s="2">
        <v>2</v>
      </c>
      <c r="D115" s="10">
        <v>1</v>
      </c>
      <c r="E115" s="10">
        <v>218</v>
      </c>
      <c r="F115" s="10"/>
      <c r="G115" s="10"/>
      <c r="H115" s="2" t="s">
        <v>787</v>
      </c>
      <c r="I115" s="2" t="s">
        <v>1706</v>
      </c>
      <c r="J115" s="2" t="s">
        <v>1707</v>
      </c>
      <c r="K115" s="2" t="s">
        <v>1708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57">
      <c r="A116" s="2" t="s">
        <v>960</v>
      </c>
      <c r="B116" s="2" t="s">
        <v>957</v>
      </c>
      <c r="C116" s="2">
        <v>3</v>
      </c>
      <c r="D116" s="10">
        <v>2</v>
      </c>
      <c r="E116" s="10">
        <v>215</v>
      </c>
      <c r="F116" s="10"/>
      <c r="G116" s="10"/>
      <c r="H116" s="2" t="s">
        <v>787</v>
      </c>
      <c r="I116" s="2" t="s">
        <v>1706</v>
      </c>
      <c r="J116" s="2" t="s">
        <v>1707</v>
      </c>
      <c r="K116" s="2" t="s">
        <v>1708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57">
      <c r="A117" s="2" t="s">
        <v>960</v>
      </c>
      <c r="B117" s="2" t="s">
        <v>957</v>
      </c>
      <c r="C117" s="2">
        <v>4</v>
      </c>
      <c r="D117" s="10">
        <v>3</v>
      </c>
      <c r="E117" s="10">
        <v>205</v>
      </c>
      <c r="F117" s="10"/>
      <c r="G117" s="10"/>
      <c r="H117" s="2" t="s">
        <v>787</v>
      </c>
      <c r="I117" s="2" t="s">
        <v>1706</v>
      </c>
      <c r="J117" s="2" t="s">
        <v>1707</v>
      </c>
      <c r="K117" s="2" t="s">
        <v>1708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57">
      <c r="A118" s="2" t="s">
        <v>960</v>
      </c>
      <c r="B118" s="2" t="s">
        <v>957</v>
      </c>
      <c r="C118" s="2">
        <v>5</v>
      </c>
      <c r="D118" s="10">
        <v>4</v>
      </c>
      <c r="E118" s="10">
        <v>190</v>
      </c>
      <c r="F118" s="10"/>
      <c r="G118" s="10"/>
      <c r="H118" s="2" t="s">
        <v>787</v>
      </c>
      <c r="I118" s="2" t="s">
        <v>1706</v>
      </c>
      <c r="J118" s="2" t="s">
        <v>1707</v>
      </c>
      <c r="K118" s="2" t="s">
        <v>1708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57">
      <c r="A119" s="2" t="s">
        <v>960</v>
      </c>
      <c r="B119" s="2" t="s">
        <v>957</v>
      </c>
      <c r="C119" s="2">
        <v>6</v>
      </c>
      <c r="D119" s="10">
        <v>5</v>
      </c>
      <c r="E119" s="10">
        <v>170</v>
      </c>
      <c r="F119" s="10"/>
      <c r="G119" s="10"/>
      <c r="H119" s="2" t="s">
        <v>787</v>
      </c>
      <c r="I119" s="2" t="s">
        <v>1706</v>
      </c>
      <c r="J119" s="2" t="s">
        <v>1707</v>
      </c>
      <c r="K119" s="2" t="s">
        <v>1708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57">
      <c r="A120" s="2" t="s">
        <v>960</v>
      </c>
      <c r="B120" s="2" t="s">
        <v>957</v>
      </c>
      <c r="C120" s="2">
        <v>7</v>
      </c>
      <c r="D120" s="10">
        <v>6</v>
      </c>
      <c r="E120" s="10">
        <v>145</v>
      </c>
      <c r="F120" s="10"/>
      <c r="G120" s="10"/>
      <c r="H120" s="2" t="s">
        <v>787</v>
      </c>
      <c r="I120" s="2" t="s">
        <v>1706</v>
      </c>
      <c r="J120" s="2" t="s">
        <v>1707</v>
      </c>
      <c r="K120" s="2" t="s">
        <v>1708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57">
      <c r="A121" s="2" t="s">
        <v>960</v>
      </c>
      <c r="B121" s="2" t="s">
        <v>957</v>
      </c>
      <c r="C121" s="2">
        <v>8</v>
      </c>
      <c r="D121" s="10">
        <v>7</v>
      </c>
      <c r="E121" s="10">
        <v>120</v>
      </c>
      <c r="F121" s="10"/>
      <c r="G121" s="10"/>
      <c r="H121" s="2" t="s">
        <v>787</v>
      </c>
      <c r="I121" s="2" t="s">
        <v>1706</v>
      </c>
      <c r="J121" s="2" t="s">
        <v>1707</v>
      </c>
      <c r="K121" s="2" t="s">
        <v>1708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57">
      <c r="A122" s="2" t="s">
        <v>960</v>
      </c>
      <c r="B122" s="2" t="s">
        <v>957</v>
      </c>
      <c r="C122" s="2">
        <v>9</v>
      </c>
      <c r="D122" s="10">
        <v>8</v>
      </c>
      <c r="E122" s="10">
        <v>95</v>
      </c>
      <c r="F122" s="10"/>
      <c r="G122" s="10"/>
      <c r="H122" s="2" t="s">
        <v>787</v>
      </c>
      <c r="I122" s="2" t="s">
        <v>1706</v>
      </c>
      <c r="J122" s="2" t="s">
        <v>1707</v>
      </c>
      <c r="K122" s="2" t="s">
        <v>1708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57">
      <c r="A123" s="2" t="s">
        <v>960</v>
      </c>
      <c r="B123" s="2" t="s">
        <v>957</v>
      </c>
      <c r="C123" s="2">
        <v>10</v>
      </c>
      <c r="D123" s="10">
        <v>9</v>
      </c>
      <c r="E123" s="10">
        <v>70</v>
      </c>
      <c r="F123" s="10"/>
      <c r="G123" s="10"/>
      <c r="H123" s="2" t="s">
        <v>787</v>
      </c>
      <c r="I123" s="2" t="s">
        <v>1706</v>
      </c>
      <c r="J123" s="2" t="s">
        <v>1707</v>
      </c>
      <c r="K123" s="2" t="s">
        <v>1708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57">
      <c r="A124" s="2" t="s">
        <v>960</v>
      </c>
      <c r="B124" s="2" t="s">
        <v>957</v>
      </c>
      <c r="C124" s="2">
        <v>11</v>
      </c>
      <c r="D124" s="10">
        <v>10</v>
      </c>
      <c r="E124" s="10">
        <v>45</v>
      </c>
      <c r="F124" s="10"/>
      <c r="G124" s="10"/>
      <c r="H124" s="2" t="s">
        <v>787</v>
      </c>
      <c r="I124" s="2" t="s">
        <v>1706</v>
      </c>
      <c r="J124" s="2" t="s">
        <v>1707</v>
      </c>
      <c r="K124" s="2" t="s">
        <v>1708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57">
      <c r="A125" s="2" t="s">
        <v>960</v>
      </c>
      <c r="B125" s="2" t="s">
        <v>957</v>
      </c>
      <c r="C125" s="2">
        <v>12</v>
      </c>
      <c r="D125" s="10">
        <v>10.8</v>
      </c>
      <c r="E125" s="10">
        <v>15</v>
      </c>
      <c r="F125" s="10"/>
      <c r="G125" s="10"/>
      <c r="H125" s="2" t="s">
        <v>787</v>
      </c>
      <c r="I125" s="2" t="s">
        <v>1706</v>
      </c>
      <c r="J125" s="2" t="s">
        <v>1707</v>
      </c>
      <c r="K125" s="2" t="s">
        <v>1708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57">
      <c r="A126" s="2" t="s">
        <v>960</v>
      </c>
      <c r="B126" s="2" t="s">
        <v>957</v>
      </c>
      <c r="C126" s="2">
        <v>13</v>
      </c>
      <c r="D126" s="10">
        <v>11</v>
      </c>
      <c r="E126" s="10">
        <v>0</v>
      </c>
      <c r="F126" s="10"/>
      <c r="G126" s="10"/>
      <c r="H126" s="2" t="s">
        <v>787</v>
      </c>
      <c r="I126" s="2" t="s">
        <v>1706</v>
      </c>
      <c r="J126" s="2" t="s">
        <v>1707</v>
      </c>
      <c r="K126" s="2" t="s">
        <v>1708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57">
      <c r="A127" s="2" t="s">
        <v>965</v>
      </c>
      <c r="B127" s="2" t="s">
        <v>962</v>
      </c>
      <c r="C127" s="2">
        <v>1</v>
      </c>
      <c r="D127" s="10">
        <v>0</v>
      </c>
      <c r="E127" s="10">
        <v>50</v>
      </c>
      <c r="F127" s="10"/>
      <c r="G127" s="10"/>
      <c r="H127" s="2" t="s">
        <v>787</v>
      </c>
      <c r="I127" s="2" t="s">
        <v>1706</v>
      </c>
      <c r="J127" s="2" t="s">
        <v>1707</v>
      </c>
      <c r="K127" s="2" t="s">
        <v>1708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57">
      <c r="A128" s="2" t="s">
        <v>965</v>
      </c>
      <c r="B128" s="2" t="s">
        <v>962</v>
      </c>
      <c r="C128" s="2">
        <v>2</v>
      </c>
      <c r="D128" s="10">
        <v>2</v>
      </c>
      <c r="E128" s="10">
        <v>47</v>
      </c>
      <c r="F128" s="10"/>
      <c r="G128" s="10"/>
      <c r="H128" s="2" t="s">
        <v>787</v>
      </c>
      <c r="I128" s="2" t="s">
        <v>1706</v>
      </c>
      <c r="J128" s="2" t="s">
        <v>1707</v>
      </c>
      <c r="K128" s="2" t="s">
        <v>1708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57">
      <c r="A129" s="2" t="s">
        <v>965</v>
      </c>
      <c r="B129" s="2" t="s">
        <v>962</v>
      </c>
      <c r="C129" s="2">
        <v>3</v>
      </c>
      <c r="D129" s="10">
        <v>4</v>
      </c>
      <c r="E129" s="10">
        <v>43</v>
      </c>
      <c r="F129" s="10"/>
      <c r="G129" s="10"/>
      <c r="H129" s="2" t="s">
        <v>787</v>
      </c>
      <c r="I129" s="2" t="s">
        <v>1706</v>
      </c>
      <c r="J129" s="2" t="s">
        <v>1707</v>
      </c>
      <c r="K129" s="2" t="s">
        <v>1708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57">
      <c r="A130" s="2" t="s">
        <v>965</v>
      </c>
      <c r="B130" s="2" t="s">
        <v>962</v>
      </c>
      <c r="C130" s="2">
        <v>4</v>
      </c>
      <c r="D130" s="10">
        <v>6</v>
      </c>
      <c r="E130" s="10">
        <v>38</v>
      </c>
      <c r="F130" s="10"/>
      <c r="G130" s="10"/>
      <c r="H130" s="2" t="s">
        <v>787</v>
      </c>
      <c r="I130" s="2" t="s">
        <v>1706</v>
      </c>
      <c r="J130" s="2" t="s">
        <v>1707</v>
      </c>
      <c r="K130" s="2" t="s">
        <v>1708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57">
      <c r="A131" s="2" t="s">
        <v>965</v>
      </c>
      <c r="B131" s="2" t="s">
        <v>962</v>
      </c>
      <c r="C131" s="2">
        <v>5</v>
      </c>
      <c r="D131" s="10">
        <v>8</v>
      </c>
      <c r="E131" s="10">
        <v>32</v>
      </c>
      <c r="F131" s="10"/>
      <c r="G131" s="10"/>
      <c r="H131" s="2" t="s">
        <v>787</v>
      </c>
      <c r="I131" s="2" t="s">
        <v>1706</v>
      </c>
      <c r="J131" s="2" t="s">
        <v>1707</v>
      </c>
      <c r="K131" s="2" t="s">
        <v>1708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57">
      <c r="A132" s="2" t="s">
        <v>965</v>
      </c>
      <c r="B132" s="2" t="s">
        <v>962</v>
      </c>
      <c r="C132" s="2">
        <v>6</v>
      </c>
      <c r="D132" s="10">
        <v>10</v>
      </c>
      <c r="E132" s="10">
        <v>26</v>
      </c>
      <c r="F132" s="10"/>
      <c r="G132" s="10"/>
      <c r="H132" s="2" t="s">
        <v>787</v>
      </c>
      <c r="I132" s="2" t="s">
        <v>1706</v>
      </c>
      <c r="J132" s="2" t="s">
        <v>1707</v>
      </c>
      <c r="K132" s="2" t="s">
        <v>1708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57">
      <c r="A133" s="2" t="s">
        <v>965</v>
      </c>
      <c r="B133" s="2" t="s">
        <v>962</v>
      </c>
      <c r="C133" s="2">
        <v>7</v>
      </c>
      <c r="D133" s="10">
        <v>12</v>
      </c>
      <c r="E133" s="10">
        <v>18</v>
      </c>
      <c r="F133" s="10"/>
      <c r="G133" s="10"/>
      <c r="H133" s="2" t="s">
        <v>787</v>
      </c>
      <c r="I133" s="2" t="s">
        <v>1706</v>
      </c>
      <c r="J133" s="2" t="s">
        <v>1707</v>
      </c>
      <c r="K133" s="2" t="s">
        <v>1708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57">
      <c r="A134" s="2" t="s">
        <v>965</v>
      </c>
      <c r="B134" s="2" t="s">
        <v>962</v>
      </c>
      <c r="C134" s="2">
        <v>8</v>
      </c>
      <c r="D134" s="10">
        <v>14</v>
      </c>
      <c r="E134" s="10">
        <v>10</v>
      </c>
      <c r="F134" s="10"/>
      <c r="G134" s="10"/>
      <c r="H134" s="2" t="s">
        <v>787</v>
      </c>
      <c r="I134" s="2" t="s">
        <v>1706</v>
      </c>
      <c r="J134" s="2" t="s">
        <v>1707</v>
      </c>
      <c r="K134" s="2" t="s">
        <v>1708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57">
      <c r="A135" s="2" t="s">
        <v>965</v>
      </c>
      <c r="B135" s="2" t="s">
        <v>962</v>
      </c>
      <c r="C135" s="2">
        <v>9</v>
      </c>
      <c r="D135" s="10">
        <v>16</v>
      </c>
      <c r="E135" s="10">
        <v>3</v>
      </c>
      <c r="F135" s="10"/>
      <c r="G135" s="10"/>
      <c r="H135" s="2" t="s">
        <v>787</v>
      </c>
      <c r="I135" s="2" t="s">
        <v>1706</v>
      </c>
      <c r="J135" s="2" t="s">
        <v>1707</v>
      </c>
      <c r="K135" s="2" t="s">
        <v>1708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57">
      <c r="A136" s="2" t="s">
        <v>965</v>
      </c>
      <c r="B136" s="2" t="s">
        <v>962</v>
      </c>
      <c r="C136" s="2">
        <v>10</v>
      </c>
      <c r="D136" s="10">
        <v>17</v>
      </c>
      <c r="E136" s="10">
        <v>0</v>
      </c>
      <c r="F136" s="10"/>
      <c r="G136" s="10"/>
      <c r="H136" s="2" t="s">
        <v>787</v>
      </c>
      <c r="I136" s="2" t="s">
        <v>1706</v>
      </c>
      <c r="J136" s="2" t="s">
        <v>1707</v>
      </c>
      <c r="K136" s="2" t="s">
        <v>1708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57">
      <c r="A137" s="2" t="s">
        <v>970</v>
      </c>
      <c r="B137" s="2" t="s">
        <v>967</v>
      </c>
      <c r="C137" s="2">
        <v>1</v>
      </c>
      <c r="D137" s="10">
        <v>0</v>
      </c>
      <c r="E137" s="10">
        <v>80</v>
      </c>
      <c r="F137" s="10"/>
      <c r="G137" s="10"/>
      <c r="H137" s="2" t="s">
        <v>787</v>
      </c>
      <c r="I137" s="2" t="s">
        <v>1706</v>
      </c>
      <c r="J137" s="2" t="s">
        <v>1707</v>
      </c>
      <c r="K137" s="2" t="s">
        <v>1708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57">
      <c r="A138" s="2" t="s">
        <v>970</v>
      </c>
      <c r="B138" s="2" t="s">
        <v>967</v>
      </c>
      <c r="C138" s="2">
        <v>2</v>
      </c>
      <c r="D138" s="10">
        <v>2</v>
      </c>
      <c r="E138" s="10">
        <v>76</v>
      </c>
      <c r="F138" s="10"/>
      <c r="G138" s="10"/>
      <c r="H138" s="2" t="s">
        <v>787</v>
      </c>
      <c r="I138" s="2" t="s">
        <v>1706</v>
      </c>
      <c r="J138" s="2" t="s">
        <v>1707</v>
      </c>
      <c r="K138" s="2" t="s">
        <v>1708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57">
      <c r="A139" s="2" t="s">
        <v>970</v>
      </c>
      <c r="B139" s="2" t="s">
        <v>967</v>
      </c>
      <c r="C139" s="2">
        <v>3</v>
      </c>
      <c r="D139" s="10">
        <v>4</v>
      </c>
      <c r="E139" s="10">
        <v>70</v>
      </c>
      <c r="F139" s="10"/>
      <c r="G139" s="10"/>
      <c r="H139" s="2" t="s">
        <v>787</v>
      </c>
      <c r="I139" s="2" t="s">
        <v>1706</v>
      </c>
      <c r="J139" s="2" t="s">
        <v>1707</v>
      </c>
      <c r="K139" s="2" t="s">
        <v>1708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57">
      <c r="A140" s="2" t="s">
        <v>970</v>
      </c>
      <c r="B140" s="2" t="s">
        <v>967</v>
      </c>
      <c r="C140" s="2">
        <v>4</v>
      </c>
      <c r="D140" s="10">
        <v>6</v>
      </c>
      <c r="E140" s="10">
        <v>62</v>
      </c>
      <c r="F140" s="10"/>
      <c r="G140" s="10"/>
      <c r="H140" s="2" t="s">
        <v>787</v>
      </c>
      <c r="I140" s="2" t="s">
        <v>1706</v>
      </c>
      <c r="J140" s="2" t="s">
        <v>1707</v>
      </c>
      <c r="K140" s="2" t="s">
        <v>1708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57">
      <c r="A141" s="2" t="s">
        <v>970</v>
      </c>
      <c r="B141" s="2" t="s">
        <v>967</v>
      </c>
      <c r="C141" s="2">
        <v>5</v>
      </c>
      <c r="D141" s="10">
        <v>8</v>
      </c>
      <c r="E141" s="10">
        <v>53</v>
      </c>
      <c r="F141" s="10"/>
      <c r="G141" s="10"/>
      <c r="H141" s="2" t="s">
        <v>787</v>
      </c>
      <c r="I141" s="2" t="s">
        <v>1706</v>
      </c>
      <c r="J141" s="2" t="s">
        <v>1707</v>
      </c>
      <c r="K141" s="2" t="s">
        <v>1708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57">
      <c r="A142" s="2" t="s">
        <v>970</v>
      </c>
      <c r="B142" s="2" t="s">
        <v>967</v>
      </c>
      <c r="C142" s="2">
        <v>6</v>
      </c>
      <c r="D142" s="10">
        <v>10</v>
      </c>
      <c r="E142" s="10">
        <v>44</v>
      </c>
      <c r="F142" s="10"/>
      <c r="G142" s="10"/>
      <c r="H142" s="2" t="s">
        <v>787</v>
      </c>
      <c r="I142" s="2" t="s">
        <v>1706</v>
      </c>
      <c r="J142" s="2" t="s">
        <v>1707</v>
      </c>
      <c r="K142" s="2" t="s">
        <v>1708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57">
      <c r="A143" s="2" t="s">
        <v>970</v>
      </c>
      <c r="B143" s="2" t="s">
        <v>967</v>
      </c>
      <c r="C143" s="2">
        <v>7</v>
      </c>
      <c r="D143" s="10">
        <v>12</v>
      </c>
      <c r="E143" s="10">
        <v>34</v>
      </c>
      <c r="F143" s="10"/>
      <c r="G143" s="10"/>
      <c r="H143" s="2" t="s">
        <v>787</v>
      </c>
      <c r="I143" s="2" t="s">
        <v>1706</v>
      </c>
      <c r="J143" s="2" t="s">
        <v>1707</v>
      </c>
      <c r="K143" s="2" t="s">
        <v>1708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57">
      <c r="A144" s="2" t="s">
        <v>970</v>
      </c>
      <c r="B144" s="2" t="s">
        <v>967</v>
      </c>
      <c r="C144" s="2">
        <v>8</v>
      </c>
      <c r="D144" s="10">
        <v>14</v>
      </c>
      <c r="E144" s="10">
        <v>22</v>
      </c>
      <c r="F144" s="10"/>
      <c r="G144" s="10"/>
      <c r="H144" s="2" t="s">
        <v>787</v>
      </c>
      <c r="I144" s="2" t="s">
        <v>1706</v>
      </c>
      <c r="J144" s="2" t="s">
        <v>1707</v>
      </c>
      <c r="K144" s="2" t="s">
        <v>1708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57">
      <c r="A145" s="2" t="s">
        <v>970</v>
      </c>
      <c r="B145" s="2" t="s">
        <v>967</v>
      </c>
      <c r="C145" s="2">
        <v>9</v>
      </c>
      <c r="D145" s="10">
        <v>16</v>
      </c>
      <c r="E145" s="10">
        <v>10</v>
      </c>
      <c r="F145" s="10"/>
      <c r="G145" s="10"/>
      <c r="H145" s="2" t="s">
        <v>787</v>
      </c>
      <c r="I145" s="2" t="s">
        <v>1706</v>
      </c>
      <c r="J145" s="2" t="s">
        <v>1707</v>
      </c>
      <c r="K145" s="2" t="s">
        <v>1708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57">
      <c r="A146" s="2" t="s">
        <v>970</v>
      </c>
      <c r="B146" s="2" t="s">
        <v>967</v>
      </c>
      <c r="C146" s="2">
        <v>10</v>
      </c>
      <c r="D146" s="10">
        <v>17</v>
      </c>
      <c r="E146" s="10">
        <v>0</v>
      </c>
      <c r="F146" s="10"/>
      <c r="G146" s="10"/>
      <c r="H146" s="2" t="s">
        <v>787</v>
      </c>
      <c r="I146" s="2" t="s">
        <v>1706</v>
      </c>
      <c r="J146" s="2" t="s">
        <v>1707</v>
      </c>
      <c r="K146" s="2" t="s">
        <v>1708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57">
      <c r="A147" s="2" t="s">
        <v>975</v>
      </c>
      <c r="B147" s="2" t="s">
        <v>972</v>
      </c>
      <c r="C147" s="2">
        <v>1</v>
      </c>
      <c r="D147" s="10">
        <v>0</v>
      </c>
      <c r="E147" s="10">
        <v>110</v>
      </c>
      <c r="F147" s="10"/>
      <c r="G147" s="10"/>
      <c r="H147" s="2" t="s">
        <v>787</v>
      </c>
      <c r="I147" s="2" t="s">
        <v>1706</v>
      </c>
      <c r="J147" s="2" t="s">
        <v>1707</v>
      </c>
      <c r="K147" s="2" t="s">
        <v>1708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57">
      <c r="A148" s="2" t="s">
        <v>975</v>
      </c>
      <c r="B148" s="2" t="s">
        <v>972</v>
      </c>
      <c r="C148" s="2">
        <v>2</v>
      </c>
      <c r="D148" s="10">
        <v>2</v>
      </c>
      <c r="E148" s="10">
        <v>105</v>
      </c>
      <c r="F148" s="10"/>
      <c r="G148" s="10"/>
      <c r="H148" s="2" t="s">
        <v>787</v>
      </c>
      <c r="I148" s="2" t="s">
        <v>1706</v>
      </c>
      <c r="J148" s="2" t="s">
        <v>1707</v>
      </c>
      <c r="K148" s="2" t="s">
        <v>1708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57">
      <c r="A149" s="2" t="s">
        <v>975</v>
      </c>
      <c r="B149" s="2" t="s">
        <v>972</v>
      </c>
      <c r="C149" s="2">
        <v>3</v>
      </c>
      <c r="D149" s="10">
        <v>4</v>
      </c>
      <c r="E149" s="10">
        <v>96</v>
      </c>
      <c r="F149" s="10"/>
      <c r="G149" s="10"/>
      <c r="H149" s="2" t="s">
        <v>787</v>
      </c>
      <c r="I149" s="2" t="s">
        <v>1706</v>
      </c>
      <c r="J149" s="2" t="s">
        <v>1707</v>
      </c>
      <c r="K149" s="2" t="s">
        <v>1708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57">
      <c r="A150" s="2" t="s">
        <v>975</v>
      </c>
      <c r="B150" s="2" t="s">
        <v>972</v>
      </c>
      <c r="C150" s="2">
        <v>4</v>
      </c>
      <c r="D150" s="10">
        <v>6</v>
      </c>
      <c r="E150" s="10">
        <v>86</v>
      </c>
      <c r="F150" s="10"/>
      <c r="G150" s="10"/>
      <c r="H150" s="2" t="s">
        <v>787</v>
      </c>
      <c r="I150" s="2" t="s">
        <v>1706</v>
      </c>
      <c r="J150" s="2" t="s">
        <v>1707</v>
      </c>
      <c r="K150" s="2" t="s">
        <v>1708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57">
      <c r="A151" s="2" t="s">
        <v>975</v>
      </c>
      <c r="B151" s="2" t="s">
        <v>972</v>
      </c>
      <c r="C151" s="2">
        <v>5</v>
      </c>
      <c r="D151" s="10">
        <v>8</v>
      </c>
      <c r="E151" s="10">
        <v>74</v>
      </c>
      <c r="F151" s="10"/>
      <c r="G151" s="10"/>
      <c r="H151" s="2" t="s">
        <v>787</v>
      </c>
      <c r="I151" s="2" t="s">
        <v>1706</v>
      </c>
      <c r="J151" s="2" t="s">
        <v>1707</v>
      </c>
      <c r="K151" s="2" t="s">
        <v>1708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57">
      <c r="A152" s="2" t="s">
        <v>975</v>
      </c>
      <c r="B152" s="2" t="s">
        <v>972</v>
      </c>
      <c r="C152" s="2">
        <v>6</v>
      </c>
      <c r="D152" s="10">
        <v>10</v>
      </c>
      <c r="E152" s="10">
        <v>61</v>
      </c>
      <c r="F152" s="10"/>
      <c r="G152" s="10"/>
      <c r="H152" s="2" t="s">
        <v>787</v>
      </c>
      <c r="I152" s="2" t="s">
        <v>1706</v>
      </c>
      <c r="J152" s="2" t="s">
        <v>1707</v>
      </c>
      <c r="K152" s="2" t="s">
        <v>1708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57">
      <c r="A153" s="2" t="s">
        <v>975</v>
      </c>
      <c r="B153" s="2" t="s">
        <v>972</v>
      </c>
      <c r="C153" s="2">
        <v>7</v>
      </c>
      <c r="D153" s="10">
        <v>12</v>
      </c>
      <c r="E153" s="10">
        <v>47</v>
      </c>
      <c r="F153" s="10"/>
      <c r="G153" s="10"/>
      <c r="H153" s="2" t="s">
        <v>787</v>
      </c>
      <c r="I153" s="2" t="s">
        <v>1706</v>
      </c>
      <c r="J153" s="2" t="s">
        <v>1707</v>
      </c>
      <c r="K153" s="2" t="s">
        <v>1708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57">
      <c r="A154" s="2" t="s">
        <v>975</v>
      </c>
      <c r="B154" s="2" t="s">
        <v>972</v>
      </c>
      <c r="C154" s="2">
        <v>8</v>
      </c>
      <c r="D154" s="10">
        <v>14</v>
      </c>
      <c r="E154" s="10">
        <v>31</v>
      </c>
      <c r="F154" s="10"/>
      <c r="G154" s="10"/>
      <c r="H154" s="2" t="s">
        <v>787</v>
      </c>
      <c r="I154" s="2" t="s">
        <v>1706</v>
      </c>
      <c r="J154" s="2" t="s">
        <v>1707</v>
      </c>
      <c r="K154" s="2" t="s">
        <v>1708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57">
      <c r="A155" s="2" t="s">
        <v>975</v>
      </c>
      <c r="B155" s="2" t="s">
        <v>972</v>
      </c>
      <c r="C155" s="2">
        <v>9</v>
      </c>
      <c r="D155" s="10">
        <v>16</v>
      </c>
      <c r="E155" s="10">
        <v>15</v>
      </c>
      <c r="F155" s="10"/>
      <c r="G155" s="10"/>
      <c r="H155" s="2" t="s">
        <v>787</v>
      </c>
      <c r="I155" s="2" t="s">
        <v>1706</v>
      </c>
      <c r="J155" s="2" t="s">
        <v>1707</v>
      </c>
      <c r="K155" s="2" t="s">
        <v>1708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57">
      <c r="A156" s="2" t="s">
        <v>975</v>
      </c>
      <c r="B156" s="2" t="s">
        <v>972</v>
      </c>
      <c r="C156" s="2">
        <v>10</v>
      </c>
      <c r="D156" s="10">
        <v>18</v>
      </c>
      <c r="E156" s="10">
        <v>0</v>
      </c>
      <c r="F156" s="10"/>
      <c r="G156" s="10"/>
      <c r="H156" s="2" t="s">
        <v>787</v>
      </c>
      <c r="I156" s="2" t="s">
        <v>1706</v>
      </c>
      <c r="J156" s="2" t="s">
        <v>1707</v>
      </c>
      <c r="K156" s="2" t="s">
        <v>1708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71.25">
      <c r="A157" s="2" t="s">
        <v>980</v>
      </c>
      <c r="B157" s="2" t="s">
        <v>977</v>
      </c>
      <c r="C157" s="2">
        <v>1</v>
      </c>
      <c r="D157" s="10">
        <v>0</v>
      </c>
      <c r="E157" s="10">
        <v>48</v>
      </c>
      <c r="F157" s="10"/>
      <c r="G157" s="10"/>
      <c r="H157" s="2" t="s">
        <v>787</v>
      </c>
      <c r="I157" s="2" t="s">
        <v>1706</v>
      </c>
      <c r="J157" s="2" t="s">
        <v>1704</v>
      </c>
      <c r="K157" s="2" t="s">
        <v>1705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71.25">
      <c r="A158" s="2" t="s">
        <v>980</v>
      </c>
      <c r="B158" s="2" t="s">
        <v>977</v>
      </c>
      <c r="C158" s="2">
        <v>2</v>
      </c>
      <c r="D158" s="10">
        <v>4</v>
      </c>
      <c r="E158" s="10">
        <v>38</v>
      </c>
      <c r="F158" s="10"/>
      <c r="G158" s="10"/>
      <c r="H158" s="2" t="s">
        <v>787</v>
      </c>
      <c r="I158" s="2" t="s">
        <v>1706</v>
      </c>
      <c r="J158" s="2" t="s">
        <v>1704</v>
      </c>
      <c r="K158" s="2" t="s">
        <v>1705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71.25">
      <c r="A159" s="2" t="s">
        <v>980</v>
      </c>
      <c r="B159" s="2" t="s">
        <v>977</v>
      </c>
      <c r="C159" s="2">
        <v>3</v>
      </c>
      <c r="D159" s="10">
        <v>8</v>
      </c>
      <c r="E159" s="10">
        <v>30</v>
      </c>
      <c r="F159" s="10"/>
      <c r="G159" s="10"/>
      <c r="H159" s="2" t="s">
        <v>787</v>
      </c>
      <c r="I159" s="2" t="s">
        <v>1706</v>
      </c>
      <c r="J159" s="2" t="s">
        <v>1704</v>
      </c>
      <c r="K159" s="2" t="s">
        <v>1705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71.25">
      <c r="A160" s="2" t="s">
        <v>980</v>
      </c>
      <c r="B160" s="2" t="s">
        <v>977</v>
      </c>
      <c r="C160" s="2">
        <v>4</v>
      </c>
      <c r="D160" s="10">
        <v>12</v>
      </c>
      <c r="E160" s="10">
        <v>22</v>
      </c>
      <c r="F160" s="10"/>
      <c r="G160" s="10"/>
      <c r="H160" s="2" t="s">
        <v>787</v>
      </c>
      <c r="I160" s="2" t="s">
        <v>1706</v>
      </c>
      <c r="J160" s="2" t="s">
        <v>1704</v>
      </c>
      <c r="K160" s="2" t="s">
        <v>1705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71.25">
      <c r="A161" s="2" t="s">
        <v>980</v>
      </c>
      <c r="B161" s="2" t="s">
        <v>977</v>
      </c>
      <c r="C161" s="2">
        <v>5</v>
      </c>
      <c r="D161" s="10">
        <v>16</v>
      </c>
      <c r="E161" s="10">
        <v>14</v>
      </c>
      <c r="F161" s="10"/>
      <c r="G161" s="10"/>
      <c r="H161" s="2" t="s">
        <v>787</v>
      </c>
      <c r="I161" s="2" t="s">
        <v>1706</v>
      </c>
      <c r="J161" s="2" t="s">
        <v>1704</v>
      </c>
      <c r="K161" s="2" t="s">
        <v>1705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71.25">
      <c r="A162" s="2" t="s">
        <v>980</v>
      </c>
      <c r="B162" s="2" t="s">
        <v>977</v>
      </c>
      <c r="C162" s="2">
        <v>6</v>
      </c>
      <c r="D162" s="10">
        <v>18</v>
      </c>
      <c r="E162" s="10">
        <v>8</v>
      </c>
      <c r="F162" s="10"/>
      <c r="G162" s="10"/>
      <c r="H162" s="2" t="s">
        <v>787</v>
      </c>
      <c r="I162" s="2" t="s">
        <v>1706</v>
      </c>
      <c r="J162" s="2" t="s">
        <v>1704</v>
      </c>
      <c r="K162" s="2" t="s">
        <v>1705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71.25">
      <c r="A163" s="2" t="s">
        <v>980</v>
      </c>
      <c r="B163" s="2" t="s">
        <v>977</v>
      </c>
      <c r="C163" s="2">
        <v>7</v>
      </c>
      <c r="D163" s="10">
        <v>20</v>
      </c>
      <c r="E163" s="10">
        <v>0</v>
      </c>
      <c r="F163" s="10"/>
      <c r="G163" s="10"/>
      <c r="H163" s="2" t="s">
        <v>787</v>
      </c>
      <c r="I163" s="2" t="s">
        <v>1706</v>
      </c>
      <c r="J163" s="2" t="s">
        <v>1704</v>
      </c>
      <c r="K163" s="2" t="s">
        <v>1705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71.25">
      <c r="A164" s="2" t="s">
        <v>985</v>
      </c>
      <c r="B164" s="2" t="s">
        <v>982</v>
      </c>
      <c r="C164" s="2">
        <v>1</v>
      </c>
      <c r="D164" s="10">
        <v>0</v>
      </c>
      <c r="E164" s="10">
        <v>70</v>
      </c>
      <c r="F164" s="10"/>
      <c r="G164" s="10"/>
      <c r="H164" s="2" t="s">
        <v>787</v>
      </c>
      <c r="I164" s="2" t="s">
        <v>1706</v>
      </c>
      <c r="J164" s="2" t="s">
        <v>1704</v>
      </c>
      <c r="K164" s="2" t="s">
        <v>1705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71.25">
      <c r="A165" s="2" t="s">
        <v>985</v>
      </c>
      <c r="B165" s="2" t="s">
        <v>982</v>
      </c>
      <c r="C165" s="2">
        <v>2</v>
      </c>
      <c r="D165" s="10">
        <v>4</v>
      </c>
      <c r="E165" s="10">
        <v>58</v>
      </c>
      <c r="F165" s="10"/>
      <c r="G165" s="10"/>
      <c r="H165" s="2" t="s">
        <v>787</v>
      </c>
      <c r="I165" s="2" t="s">
        <v>1706</v>
      </c>
      <c r="J165" s="2" t="s">
        <v>1704</v>
      </c>
      <c r="K165" s="2" t="s">
        <v>1705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71.25">
      <c r="A166" s="2" t="s">
        <v>985</v>
      </c>
      <c r="B166" s="2" t="s">
        <v>982</v>
      </c>
      <c r="C166" s="2">
        <v>3</v>
      </c>
      <c r="D166" s="10">
        <v>8</v>
      </c>
      <c r="E166" s="10">
        <v>47</v>
      </c>
      <c r="F166" s="10"/>
      <c r="G166" s="10"/>
      <c r="H166" s="2" t="s">
        <v>787</v>
      </c>
      <c r="I166" s="2" t="s">
        <v>1706</v>
      </c>
      <c r="J166" s="2" t="s">
        <v>1704</v>
      </c>
      <c r="K166" s="2" t="s">
        <v>1705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71.25">
      <c r="A167" s="2" t="s">
        <v>985</v>
      </c>
      <c r="B167" s="2" t="s">
        <v>982</v>
      </c>
      <c r="C167" s="2">
        <v>4</v>
      </c>
      <c r="D167" s="10">
        <v>12</v>
      </c>
      <c r="E167" s="10">
        <v>36</v>
      </c>
      <c r="F167" s="10"/>
      <c r="G167" s="10"/>
      <c r="H167" s="2" t="s">
        <v>787</v>
      </c>
      <c r="I167" s="2" t="s">
        <v>1706</v>
      </c>
      <c r="J167" s="2" t="s">
        <v>1704</v>
      </c>
      <c r="K167" s="2" t="s">
        <v>1705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71.25">
      <c r="A168" s="2" t="s">
        <v>985</v>
      </c>
      <c r="B168" s="2" t="s">
        <v>982</v>
      </c>
      <c r="C168" s="2">
        <v>5</v>
      </c>
      <c r="D168" s="10">
        <v>16</v>
      </c>
      <c r="E168" s="10">
        <v>22</v>
      </c>
      <c r="F168" s="10"/>
      <c r="G168" s="10"/>
      <c r="H168" s="2" t="s">
        <v>787</v>
      </c>
      <c r="I168" s="2" t="s">
        <v>1706</v>
      </c>
      <c r="J168" s="2" t="s">
        <v>1704</v>
      </c>
      <c r="K168" s="2" t="s">
        <v>1705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71.25">
      <c r="A169" s="2" t="s">
        <v>985</v>
      </c>
      <c r="B169" s="2" t="s">
        <v>982</v>
      </c>
      <c r="C169" s="2">
        <v>6</v>
      </c>
      <c r="D169" s="10">
        <v>18</v>
      </c>
      <c r="E169" s="10">
        <v>12</v>
      </c>
      <c r="F169" s="10"/>
      <c r="G169" s="10"/>
      <c r="H169" s="2" t="s">
        <v>787</v>
      </c>
      <c r="I169" s="2" t="s">
        <v>1706</v>
      </c>
      <c r="J169" s="2" t="s">
        <v>1704</v>
      </c>
      <c r="K169" s="2" t="s">
        <v>1705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71.25">
      <c r="A170" s="2" t="s">
        <v>985</v>
      </c>
      <c r="B170" s="2" t="s">
        <v>982</v>
      </c>
      <c r="C170" s="2">
        <v>7</v>
      </c>
      <c r="D170" s="10">
        <v>20</v>
      </c>
      <c r="E170" s="10">
        <v>0</v>
      </c>
      <c r="F170" s="10"/>
      <c r="G170" s="10"/>
      <c r="H170" s="2" t="s">
        <v>787</v>
      </c>
      <c r="I170" s="2" t="s">
        <v>1706</v>
      </c>
      <c r="J170" s="2" t="s">
        <v>1704</v>
      </c>
      <c r="K170" s="2" t="s">
        <v>1705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71.25">
      <c r="A171" s="2" t="s">
        <v>990</v>
      </c>
      <c r="B171" s="2" t="s">
        <v>987</v>
      </c>
      <c r="C171" s="2">
        <v>1</v>
      </c>
      <c r="D171" s="10">
        <v>0</v>
      </c>
      <c r="E171" s="10">
        <v>82</v>
      </c>
      <c r="F171" s="10"/>
      <c r="G171" s="10"/>
      <c r="H171" s="2" t="s">
        <v>787</v>
      </c>
      <c r="I171" s="2" t="s">
        <v>1706</v>
      </c>
      <c r="J171" s="2" t="s">
        <v>1704</v>
      </c>
      <c r="K171" s="2" t="s">
        <v>1705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71.25">
      <c r="A172" s="2" t="s">
        <v>990</v>
      </c>
      <c r="B172" s="2" t="s">
        <v>987</v>
      </c>
      <c r="C172" s="2">
        <v>2</v>
      </c>
      <c r="D172" s="10">
        <v>4</v>
      </c>
      <c r="E172" s="10">
        <v>70</v>
      </c>
      <c r="F172" s="10"/>
      <c r="G172" s="10"/>
      <c r="H172" s="2" t="s">
        <v>787</v>
      </c>
      <c r="I172" s="2" t="s">
        <v>1706</v>
      </c>
      <c r="J172" s="2" t="s">
        <v>1704</v>
      </c>
      <c r="K172" s="2" t="s">
        <v>1705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71.25">
      <c r="A173" s="2" t="s">
        <v>990</v>
      </c>
      <c r="B173" s="2" t="s">
        <v>987</v>
      </c>
      <c r="C173" s="2">
        <v>3</v>
      </c>
      <c r="D173" s="10">
        <v>8</v>
      </c>
      <c r="E173" s="10">
        <v>56</v>
      </c>
      <c r="F173" s="10"/>
      <c r="G173" s="10"/>
      <c r="H173" s="2" t="s">
        <v>787</v>
      </c>
      <c r="I173" s="2" t="s">
        <v>1706</v>
      </c>
      <c r="J173" s="2" t="s">
        <v>1704</v>
      </c>
      <c r="K173" s="2" t="s">
        <v>1705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71.25">
      <c r="A174" s="2" t="s">
        <v>990</v>
      </c>
      <c r="B174" s="2" t="s">
        <v>987</v>
      </c>
      <c r="C174" s="2">
        <v>4</v>
      </c>
      <c r="D174" s="10">
        <v>12</v>
      </c>
      <c r="E174" s="10">
        <v>40</v>
      </c>
      <c r="F174" s="10"/>
      <c r="G174" s="10"/>
      <c r="H174" s="2" t="s">
        <v>787</v>
      </c>
      <c r="I174" s="2" t="s">
        <v>1706</v>
      </c>
      <c r="J174" s="2" t="s">
        <v>1704</v>
      </c>
      <c r="K174" s="2" t="s">
        <v>1705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71.25">
      <c r="A175" s="2" t="s">
        <v>990</v>
      </c>
      <c r="B175" s="2" t="s">
        <v>987</v>
      </c>
      <c r="C175" s="2">
        <v>5</v>
      </c>
      <c r="D175" s="10">
        <v>16</v>
      </c>
      <c r="E175" s="10">
        <v>24</v>
      </c>
      <c r="F175" s="10"/>
      <c r="G175" s="10"/>
      <c r="H175" s="2" t="s">
        <v>787</v>
      </c>
      <c r="I175" s="2" t="s">
        <v>1706</v>
      </c>
      <c r="J175" s="2" t="s">
        <v>1704</v>
      </c>
      <c r="K175" s="2" t="s">
        <v>1705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71.25">
      <c r="A176" s="2" t="s">
        <v>990</v>
      </c>
      <c r="B176" s="2" t="s">
        <v>987</v>
      </c>
      <c r="C176" s="2">
        <v>6</v>
      </c>
      <c r="D176" s="10">
        <v>18</v>
      </c>
      <c r="E176" s="10">
        <v>12</v>
      </c>
      <c r="F176" s="10"/>
      <c r="G176" s="10"/>
      <c r="H176" s="2" t="s">
        <v>787</v>
      </c>
      <c r="I176" s="2" t="s">
        <v>1706</v>
      </c>
      <c r="J176" s="2" t="s">
        <v>1704</v>
      </c>
      <c r="K176" s="2" t="s">
        <v>1705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71.25">
      <c r="A177" s="2" t="s">
        <v>990</v>
      </c>
      <c r="B177" s="2" t="s">
        <v>987</v>
      </c>
      <c r="C177" s="2">
        <v>7</v>
      </c>
      <c r="D177" s="10">
        <v>20</v>
      </c>
      <c r="E177" s="10">
        <v>0</v>
      </c>
      <c r="F177" s="10"/>
      <c r="G177" s="10"/>
      <c r="H177" s="2" t="s">
        <v>787</v>
      </c>
      <c r="I177" s="2" t="s">
        <v>1706</v>
      </c>
      <c r="J177" s="2" t="s">
        <v>1704</v>
      </c>
      <c r="K177" s="2" t="s">
        <v>1705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71.25">
      <c r="A178" s="2" t="s">
        <v>995</v>
      </c>
      <c r="B178" s="2" t="s">
        <v>992</v>
      </c>
      <c r="C178" s="2">
        <v>1</v>
      </c>
      <c r="D178" s="10">
        <v>0</v>
      </c>
      <c r="E178" s="10">
        <v>25</v>
      </c>
      <c r="F178" s="10"/>
      <c r="G178" s="10"/>
      <c r="H178" s="2" t="s">
        <v>787</v>
      </c>
      <c r="I178" s="2" t="s">
        <v>1706</v>
      </c>
      <c r="J178" s="2" t="s">
        <v>1704</v>
      </c>
      <c r="K178" s="2" t="s">
        <v>1705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71.25">
      <c r="A179" s="2" t="s">
        <v>995</v>
      </c>
      <c r="B179" s="2" t="s">
        <v>992</v>
      </c>
      <c r="C179" s="2">
        <v>2</v>
      </c>
      <c r="D179" s="10">
        <v>5</v>
      </c>
      <c r="E179" s="10">
        <v>24</v>
      </c>
      <c r="F179" s="10"/>
      <c r="G179" s="10"/>
      <c r="H179" s="2" t="s">
        <v>787</v>
      </c>
      <c r="I179" s="2" t="s">
        <v>1706</v>
      </c>
      <c r="J179" s="2" t="s">
        <v>1704</v>
      </c>
      <c r="K179" s="2" t="s">
        <v>1705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71.25">
      <c r="A180" s="2" t="s">
        <v>995</v>
      </c>
      <c r="B180" s="2" t="s">
        <v>992</v>
      </c>
      <c r="C180" s="2">
        <v>3</v>
      </c>
      <c r="D180" s="10">
        <v>10</v>
      </c>
      <c r="E180" s="10">
        <v>21</v>
      </c>
      <c r="F180" s="10"/>
      <c r="G180" s="10"/>
      <c r="H180" s="2" t="s">
        <v>787</v>
      </c>
      <c r="I180" s="2" t="s">
        <v>1706</v>
      </c>
      <c r="J180" s="2" t="s">
        <v>1704</v>
      </c>
      <c r="K180" s="2" t="s">
        <v>1705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71.25">
      <c r="A181" s="2" t="s">
        <v>995</v>
      </c>
      <c r="B181" s="2" t="s">
        <v>992</v>
      </c>
      <c r="C181" s="2">
        <v>4</v>
      </c>
      <c r="D181" s="10">
        <v>15</v>
      </c>
      <c r="E181" s="10">
        <v>16</v>
      </c>
      <c r="F181" s="10"/>
      <c r="G181" s="10"/>
      <c r="H181" s="2" t="s">
        <v>787</v>
      </c>
      <c r="I181" s="2" t="s">
        <v>1706</v>
      </c>
      <c r="J181" s="2" t="s">
        <v>1704</v>
      </c>
      <c r="K181" s="2" t="s">
        <v>1705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71.25">
      <c r="A182" s="2" t="s">
        <v>995</v>
      </c>
      <c r="B182" s="2" t="s">
        <v>992</v>
      </c>
      <c r="C182" s="2">
        <v>5</v>
      </c>
      <c r="D182" s="10">
        <v>20</v>
      </c>
      <c r="E182" s="10">
        <v>10</v>
      </c>
      <c r="F182" s="10"/>
      <c r="G182" s="10"/>
      <c r="H182" s="2" t="s">
        <v>787</v>
      </c>
      <c r="I182" s="2" t="s">
        <v>1706</v>
      </c>
      <c r="J182" s="2" t="s">
        <v>1704</v>
      </c>
      <c r="K182" s="2" t="s">
        <v>1705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71.25">
      <c r="A183" s="2" t="s">
        <v>995</v>
      </c>
      <c r="B183" s="2" t="s">
        <v>992</v>
      </c>
      <c r="C183" s="2">
        <v>6</v>
      </c>
      <c r="D183" s="10">
        <v>23</v>
      </c>
      <c r="E183" s="10">
        <v>5</v>
      </c>
      <c r="F183" s="10"/>
      <c r="G183" s="10"/>
      <c r="H183" s="2" t="s">
        <v>787</v>
      </c>
      <c r="I183" s="2" t="s">
        <v>1706</v>
      </c>
      <c r="J183" s="2" t="s">
        <v>1704</v>
      </c>
      <c r="K183" s="2" t="s">
        <v>1705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71.25">
      <c r="A184" s="2" t="s">
        <v>995</v>
      </c>
      <c r="B184" s="2" t="s">
        <v>992</v>
      </c>
      <c r="C184" s="2">
        <v>7</v>
      </c>
      <c r="D184" s="10">
        <v>25</v>
      </c>
      <c r="E184" s="10">
        <v>0</v>
      </c>
      <c r="F184" s="10"/>
      <c r="G184" s="10"/>
      <c r="H184" s="2" t="s">
        <v>787</v>
      </c>
      <c r="I184" s="2" t="s">
        <v>1706</v>
      </c>
      <c r="J184" s="2" t="s">
        <v>1704</v>
      </c>
      <c r="K184" s="2" t="s">
        <v>1705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71.25">
      <c r="A185" s="2" t="s">
        <v>1000</v>
      </c>
      <c r="B185" s="2" t="s">
        <v>997</v>
      </c>
      <c r="C185" s="2">
        <v>1</v>
      </c>
      <c r="D185" s="10">
        <v>0</v>
      </c>
      <c r="E185" s="10">
        <v>38</v>
      </c>
      <c r="F185" s="10"/>
      <c r="G185" s="10"/>
      <c r="H185" s="2" t="s">
        <v>787</v>
      </c>
      <c r="I185" s="2" t="s">
        <v>1706</v>
      </c>
      <c r="J185" s="2" t="s">
        <v>1704</v>
      </c>
      <c r="K185" s="2" t="s">
        <v>1705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71.25">
      <c r="A186" s="2" t="s">
        <v>1000</v>
      </c>
      <c r="B186" s="2" t="s">
        <v>997</v>
      </c>
      <c r="C186" s="2">
        <v>2</v>
      </c>
      <c r="D186" s="10">
        <v>5</v>
      </c>
      <c r="E186" s="10">
        <v>36</v>
      </c>
      <c r="F186" s="10"/>
      <c r="G186" s="10"/>
      <c r="H186" s="2" t="s">
        <v>787</v>
      </c>
      <c r="I186" s="2" t="s">
        <v>1706</v>
      </c>
      <c r="J186" s="2" t="s">
        <v>1704</v>
      </c>
      <c r="K186" s="2" t="s">
        <v>1705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71.25">
      <c r="A187" s="2" t="s">
        <v>1000</v>
      </c>
      <c r="B187" s="2" t="s">
        <v>997</v>
      </c>
      <c r="C187" s="2">
        <v>3</v>
      </c>
      <c r="D187" s="10">
        <v>10</v>
      </c>
      <c r="E187" s="10">
        <v>31</v>
      </c>
      <c r="F187" s="10"/>
      <c r="G187" s="10"/>
      <c r="H187" s="2" t="s">
        <v>787</v>
      </c>
      <c r="I187" s="2" t="s">
        <v>1706</v>
      </c>
      <c r="J187" s="2" t="s">
        <v>1704</v>
      </c>
      <c r="K187" s="2" t="s">
        <v>1705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71.25">
      <c r="A188" s="2" t="s">
        <v>1000</v>
      </c>
      <c r="B188" s="2" t="s">
        <v>997</v>
      </c>
      <c r="C188" s="2">
        <v>4</v>
      </c>
      <c r="D188" s="10">
        <v>15</v>
      </c>
      <c r="E188" s="10">
        <v>24</v>
      </c>
      <c r="F188" s="10"/>
      <c r="G188" s="10"/>
      <c r="H188" s="2" t="s">
        <v>787</v>
      </c>
      <c r="I188" s="2" t="s">
        <v>1706</v>
      </c>
      <c r="J188" s="2" t="s">
        <v>1704</v>
      </c>
      <c r="K188" s="2" t="s">
        <v>1705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71.25">
      <c r="A189" s="2" t="s">
        <v>1000</v>
      </c>
      <c r="B189" s="2" t="s">
        <v>997</v>
      </c>
      <c r="C189" s="2">
        <v>5</v>
      </c>
      <c r="D189" s="10">
        <v>20</v>
      </c>
      <c r="E189" s="10">
        <v>16</v>
      </c>
      <c r="F189" s="10"/>
      <c r="G189" s="10"/>
      <c r="H189" s="2" t="s">
        <v>787</v>
      </c>
      <c r="I189" s="2" t="s">
        <v>1706</v>
      </c>
      <c r="J189" s="2" t="s">
        <v>1704</v>
      </c>
      <c r="K189" s="2" t="s">
        <v>1705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71.25">
      <c r="A190" s="2" t="s">
        <v>1000</v>
      </c>
      <c r="B190" s="2" t="s">
        <v>997</v>
      </c>
      <c r="C190" s="2">
        <v>6</v>
      </c>
      <c r="D190" s="10">
        <v>24</v>
      </c>
      <c r="E190" s="10">
        <v>7</v>
      </c>
      <c r="F190" s="10"/>
      <c r="G190" s="10"/>
      <c r="H190" s="2" t="s">
        <v>787</v>
      </c>
      <c r="I190" s="2" t="s">
        <v>1706</v>
      </c>
      <c r="J190" s="2" t="s">
        <v>1704</v>
      </c>
      <c r="K190" s="2" t="s">
        <v>1705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71.25">
      <c r="A191" s="2" t="s">
        <v>1000</v>
      </c>
      <c r="B191" s="2" t="s">
        <v>997</v>
      </c>
      <c r="C191" s="2">
        <v>7</v>
      </c>
      <c r="D191" s="10">
        <v>26</v>
      </c>
      <c r="E191" s="10">
        <v>0</v>
      </c>
      <c r="F191" s="10"/>
      <c r="G191" s="10"/>
      <c r="H191" s="2" t="s">
        <v>787</v>
      </c>
      <c r="I191" s="2" t="s">
        <v>1706</v>
      </c>
      <c r="J191" s="2" t="s">
        <v>1704</v>
      </c>
      <c r="K191" s="2" t="s">
        <v>1705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57">
      <c r="A192" s="2" t="s">
        <v>1005</v>
      </c>
      <c r="B192" s="2" t="s">
        <v>1002</v>
      </c>
      <c r="C192" s="2">
        <v>1</v>
      </c>
      <c r="D192" s="10">
        <v>0</v>
      </c>
      <c r="E192" s="10">
        <v>50</v>
      </c>
      <c r="F192" s="10"/>
      <c r="G192" s="10"/>
      <c r="H192" s="2" t="s">
        <v>787</v>
      </c>
      <c r="I192" s="2" t="s">
        <v>1706</v>
      </c>
      <c r="J192" s="2" t="s">
        <v>1707</v>
      </c>
      <c r="K192" s="2" t="s">
        <v>1708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57">
      <c r="A193" s="2" t="s">
        <v>1005</v>
      </c>
      <c r="B193" s="2" t="s">
        <v>1002</v>
      </c>
      <c r="C193" s="2">
        <v>2</v>
      </c>
      <c r="D193" s="10">
        <v>5</v>
      </c>
      <c r="E193" s="10">
        <v>48</v>
      </c>
      <c r="F193" s="10"/>
      <c r="G193" s="10"/>
      <c r="H193" s="2" t="s">
        <v>787</v>
      </c>
      <c r="I193" s="2" t="s">
        <v>1706</v>
      </c>
      <c r="J193" s="2" t="s">
        <v>1707</v>
      </c>
      <c r="K193" s="2" t="s">
        <v>1708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57">
      <c r="A194" s="2" t="s">
        <v>1005</v>
      </c>
      <c r="B194" s="2" t="s">
        <v>1002</v>
      </c>
      <c r="C194" s="2">
        <v>3</v>
      </c>
      <c r="D194" s="10">
        <v>10</v>
      </c>
      <c r="E194" s="10">
        <v>43</v>
      </c>
      <c r="F194" s="10"/>
      <c r="G194" s="10"/>
      <c r="H194" s="2" t="s">
        <v>787</v>
      </c>
      <c r="I194" s="2" t="s">
        <v>1706</v>
      </c>
      <c r="J194" s="2" t="s">
        <v>1707</v>
      </c>
      <c r="K194" s="2" t="s">
        <v>1708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71.25">
      <c r="A195" s="2" t="s">
        <v>914</v>
      </c>
      <c r="B195" s="2" t="s">
        <v>910</v>
      </c>
      <c r="C195" s="2">
        <v>1</v>
      </c>
      <c r="D195" s="10">
        <v>0</v>
      </c>
      <c r="E195" s="10">
        <v>135</v>
      </c>
      <c r="F195" s="10"/>
      <c r="G195" s="10"/>
      <c r="H195" s="2" t="s">
        <v>787</v>
      </c>
      <c r="I195" s="2" t="s">
        <v>1703</v>
      </c>
      <c r="J195" s="2" t="s">
        <v>1704</v>
      </c>
      <c r="K195" s="2" t="s">
        <v>1705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71.25">
      <c r="A196" s="2" t="s">
        <v>914</v>
      </c>
      <c r="B196" s="2" t="s">
        <v>910</v>
      </c>
      <c r="C196" s="2">
        <v>2</v>
      </c>
      <c r="D196" s="10">
        <v>0.5</v>
      </c>
      <c r="E196" s="10">
        <v>132</v>
      </c>
      <c r="F196" s="10"/>
      <c r="G196" s="10"/>
      <c r="H196" s="2" t="s">
        <v>787</v>
      </c>
      <c r="I196" s="2" t="s">
        <v>1703</v>
      </c>
      <c r="J196" s="2" t="s">
        <v>1704</v>
      </c>
      <c r="K196" s="2" t="s">
        <v>1705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71.25">
      <c r="A197" s="2" t="s">
        <v>914</v>
      </c>
      <c r="B197" s="2" t="s">
        <v>910</v>
      </c>
      <c r="C197" s="2">
        <v>3</v>
      </c>
      <c r="D197" s="10">
        <v>1</v>
      </c>
      <c r="E197" s="10">
        <v>126</v>
      </c>
      <c r="F197" s="10"/>
      <c r="G197" s="10"/>
      <c r="H197" s="2" t="s">
        <v>787</v>
      </c>
      <c r="I197" s="2" t="s">
        <v>1703</v>
      </c>
      <c r="J197" s="2" t="s">
        <v>1704</v>
      </c>
      <c r="K197" s="2" t="s">
        <v>1705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71.25">
      <c r="A198" s="2" t="s">
        <v>914</v>
      </c>
      <c r="B198" s="2" t="s">
        <v>910</v>
      </c>
      <c r="C198" s="2">
        <v>4</v>
      </c>
      <c r="D198" s="10">
        <v>1.5</v>
      </c>
      <c r="E198" s="10">
        <v>118</v>
      </c>
      <c r="F198" s="10"/>
      <c r="G198" s="10"/>
      <c r="H198" s="2" t="s">
        <v>787</v>
      </c>
      <c r="I198" s="2" t="s">
        <v>1703</v>
      </c>
      <c r="J198" s="2" t="s">
        <v>1704</v>
      </c>
      <c r="K198" s="2" t="s">
        <v>1705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71.25">
      <c r="A199" s="2" t="s">
        <v>914</v>
      </c>
      <c r="B199" s="2" t="s">
        <v>910</v>
      </c>
      <c r="C199" s="2">
        <v>5</v>
      </c>
      <c r="D199" s="10">
        <v>2</v>
      </c>
      <c r="E199" s="10">
        <v>107</v>
      </c>
      <c r="F199" s="10"/>
      <c r="G199" s="10"/>
      <c r="H199" s="2" t="s">
        <v>787</v>
      </c>
      <c r="I199" s="2" t="s">
        <v>1703</v>
      </c>
      <c r="J199" s="2" t="s">
        <v>1704</v>
      </c>
      <c r="K199" s="2" t="s">
        <v>1705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71.25">
      <c r="A200" s="2" t="s">
        <v>914</v>
      </c>
      <c r="B200" s="2" t="s">
        <v>910</v>
      </c>
      <c r="C200" s="2">
        <v>6</v>
      </c>
      <c r="D200" s="10">
        <v>2.5</v>
      </c>
      <c r="E200" s="10">
        <v>94</v>
      </c>
      <c r="F200" s="10"/>
      <c r="G200" s="10"/>
      <c r="H200" s="2" t="s">
        <v>787</v>
      </c>
      <c r="I200" s="2" t="s">
        <v>1703</v>
      </c>
      <c r="J200" s="2" t="s">
        <v>1704</v>
      </c>
      <c r="K200" s="2" t="s">
        <v>1705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 ht="71.25">
      <c r="A201" s="2" t="s">
        <v>914</v>
      </c>
      <c r="B201" s="2" t="s">
        <v>910</v>
      </c>
      <c r="C201" s="2">
        <v>7</v>
      </c>
      <c r="D201" s="10">
        <v>3</v>
      </c>
      <c r="E201" s="10">
        <v>80</v>
      </c>
      <c r="F201" s="10"/>
      <c r="G201" s="10"/>
      <c r="H201" s="2" t="s">
        <v>787</v>
      </c>
      <c r="I201" s="2" t="s">
        <v>1703</v>
      </c>
      <c r="J201" s="2" t="s">
        <v>1704</v>
      </c>
      <c r="K201" s="2" t="s">
        <v>1705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 ht="71.25">
      <c r="A202" s="2" t="s">
        <v>914</v>
      </c>
      <c r="B202" s="2" t="s">
        <v>910</v>
      </c>
      <c r="C202" s="2">
        <v>8</v>
      </c>
      <c r="D202" s="10">
        <v>3.5</v>
      </c>
      <c r="E202" s="10">
        <v>64</v>
      </c>
      <c r="F202" s="10"/>
      <c r="G202" s="10"/>
      <c r="H202" s="2" t="s">
        <v>787</v>
      </c>
      <c r="I202" s="2" t="s">
        <v>1703</v>
      </c>
      <c r="J202" s="2" t="s">
        <v>1704</v>
      </c>
      <c r="K202" s="2" t="s">
        <v>1705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 ht="71.25">
      <c r="A203" s="2" t="s">
        <v>914</v>
      </c>
      <c r="B203" s="2" t="s">
        <v>910</v>
      </c>
      <c r="C203" s="2">
        <v>9</v>
      </c>
      <c r="D203" s="10">
        <v>4</v>
      </c>
      <c r="E203" s="10">
        <v>48</v>
      </c>
      <c r="F203" s="10"/>
      <c r="G203" s="10"/>
      <c r="H203" s="2" t="s">
        <v>787</v>
      </c>
      <c r="I203" s="2" t="s">
        <v>1703</v>
      </c>
      <c r="J203" s="2" t="s">
        <v>1704</v>
      </c>
      <c r="K203" s="2" t="s">
        <v>1705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 ht="71.25">
      <c r="A204" s="2" t="s">
        <v>914</v>
      </c>
      <c r="B204" s="2" t="s">
        <v>910</v>
      </c>
      <c r="C204" s="2">
        <v>10</v>
      </c>
      <c r="D204" s="10">
        <v>4.5</v>
      </c>
      <c r="E204" s="10">
        <v>28</v>
      </c>
      <c r="F204" s="10"/>
      <c r="G204" s="10"/>
      <c r="H204" s="2" t="s">
        <v>787</v>
      </c>
      <c r="I204" s="2" t="s">
        <v>1703</v>
      </c>
      <c r="J204" s="2" t="s">
        <v>1704</v>
      </c>
      <c r="K204" s="2" t="s">
        <v>1705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 ht="71.25">
      <c r="A205" s="2" t="s">
        <v>914</v>
      </c>
      <c r="B205" s="2" t="s">
        <v>910</v>
      </c>
      <c r="C205" s="2">
        <v>11</v>
      </c>
      <c r="D205" s="10">
        <v>5</v>
      </c>
      <c r="E205" s="10">
        <v>0</v>
      </c>
      <c r="F205" s="10"/>
      <c r="G205" s="10"/>
      <c r="H205" s="2" t="s">
        <v>787</v>
      </c>
      <c r="I205" s="2" t="s">
        <v>1703</v>
      </c>
      <c r="J205" s="2" t="s">
        <v>1704</v>
      </c>
      <c r="K205" s="2" t="s">
        <v>1705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 ht="71.25">
      <c r="A206" s="2" t="s">
        <v>919</v>
      </c>
      <c r="B206" s="2" t="s">
        <v>916</v>
      </c>
      <c r="C206" s="2">
        <v>1</v>
      </c>
      <c r="D206" s="10">
        <v>0</v>
      </c>
      <c r="E206" s="10">
        <v>115</v>
      </c>
      <c r="F206" s="10"/>
      <c r="G206" s="10"/>
      <c r="H206" s="2" t="s">
        <v>787</v>
      </c>
      <c r="I206" s="2" t="s">
        <v>1703</v>
      </c>
      <c r="J206" s="2" t="s">
        <v>1704</v>
      </c>
      <c r="K206" s="2" t="s">
        <v>1705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 ht="71.25">
      <c r="A207" s="2" t="s">
        <v>919</v>
      </c>
      <c r="B207" s="2" t="s">
        <v>916</v>
      </c>
      <c r="C207" s="2">
        <v>2</v>
      </c>
      <c r="D207" s="10">
        <v>0.5</v>
      </c>
      <c r="E207" s="10">
        <v>112</v>
      </c>
      <c r="F207" s="10"/>
      <c r="G207" s="10"/>
      <c r="H207" s="2" t="s">
        <v>787</v>
      </c>
      <c r="I207" s="2" t="s">
        <v>1703</v>
      </c>
      <c r="J207" s="2" t="s">
        <v>1704</v>
      </c>
      <c r="K207" s="2" t="s">
        <v>1705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 ht="71.25">
      <c r="A208" s="2" t="s">
        <v>919</v>
      </c>
      <c r="B208" s="2" t="s">
        <v>916</v>
      </c>
      <c r="C208" s="2">
        <v>3</v>
      </c>
      <c r="D208" s="10">
        <v>1</v>
      </c>
      <c r="E208" s="10">
        <v>108</v>
      </c>
      <c r="F208" s="10"/>
      <c r="G208" s="10"/>
      <c r="H208" s="2" t="s">
        <v>787</v>
      </c>
      <c r="I208" s="2" t="s">
        <v>1703</v>
      </c>
      <c r="J208" s="2" t="s">
        <v>1704</v>
      </c>
      <c r="K208" s="2" t="s">
        <v>1705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 ht="71.25">
      <c r="A209" s="2" t="s">
        <v>919</v>
      </c>
      <c r="B209" s="2" t="s">
        <v>916</v>
      </c>
      <c r="C209" s="2">
        <v>4</v>
      </c>
      <c r="D209" s="10">
        <v>1.5</v>
      </c>
      <c r="E209" s="10">
        <v>102</v>
      </c>
      <c r="F209" s="10"/>
      <c r="G209" s="10"/>
      <c r="H209" s="2" t="s">
        <v>787</v>
      </c>
      <c r="I209" s="2" t="s">
        <v>1703</v>
      </c>
      <c r="J209" s="2" t="s">
        <v>1704</v>
      </c>
      <c r="K209" s="2" t="s">
        <v>1705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 ht="71.25">
      <c r="A210" s="2" t="s">
        <v>919</v>
      </c>
      <c r="B210" s="2" t="s">
        <v>916</v>
      </c>
      <c r="C210" s="2">
        <v>5</v>
      </c>
      <c r="D210" s="10">
        <v>2</v>
      </c>
      <c r="E210" s="10">
        <v>95</v>
      </c>
      <c r="F210" s="10"/>
      <c r="G210" s="10"/>
      <c r="H210" s="2" t="s">
        <v>787</v>
      </c>
      <c r="I210" s="2" t="s">
        <v>1703</v>
      </c>
      <c r="J210" s="2" t="s">
        <v>1704</v>
      </c>
      <c r="K210" s="2" t="s">
        <v>1705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 ht="71.25">
      <c r="A211" s="2" t="s">
        <v>919</v>
      </c>
      <c r="B211" s="2" t="s">
        <v>916</v>
      </c>
      <c r="C211" s="2">
        <v>6</v>
      </c>
      <c r="D211" s="10">
        <v>2.5</v>
      </c>
      <c r="E211" s="10">
        <v>86</v>
      </c>
      <c r="F211" s="10"/>
      <c r="G211" s="10"/>
      <c r="H211" s="2" t="s">
        <v>787</v>
      </c>
      <c r="I211" s="2" t="s">
        <v>1703</v>
      </c>
      <c r="J211" s="2" t="s">
        <v>1704</v>
      </c>
      <c r="K211" s="2" t="s">
        <v>1705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 ht="71.25">
      <c r="A212" s="2" t="s">
        <v>919</v>
      </c>
      <c r="B212" s="2" t="s">
        <v>916</v>
      </c>
      <c r="C212" s="2">
        <v>7</v>
      </c>
      <c r="D212" s="10">
        <v>3</v>
      </c>
      <c r="E212" s="10">
        <v>76</v>
      </c>
      <c r="F212" s="10"/>
      <c r="G212" s="10"/>
      <c r="H212" s="2" t="s">
        <v>787</v>
      </c>
      <c r="I212" s="2" t="s">
        <v>1703</v>
      </c>
      <c r="J212" s="2" t="s">
        <v>1704</v>
      </c>
      <c r="K212" s="2" t="s">
        <v>1705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 ht="71.25">
      <c r="A213" s="2" t="s">
        <v>919</v>
      </c>
      <c r="B213" s="2" t="s">
        <v>916</v>
      </c>
      <c r="C213" s="2">
        <v>8</v>
      </c>
      <c r="D213" s="10">
        <v>3.5</v>
      </c>
      <c r="E213" s="10">
        <v>64</v>
      </c>
      <c r="F213" s="10"/>
      <c r="G213" s="10"/>
      <c r="H213" s="2" t="s">
        <v>787</v>
      </c>
      <c r="I213" s="2" t="s">
        <v>1703</v>
      </c>
      <c r="J213" s="2" t="s">
        <v>1704</v>
      </c>
      <c r="K213" s="2" t="s">
        <v>1705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 ht="71.25">
      <c r="A214" s="2" t="s">
        <v>919</v>
      </c>
      <c r="B214" s="2" t="s">
        <v>916</v>
      </c>
      <c r="C214" s="2">
        <v>9</v>
      </c>
      <c r="D214" s="10">
        <v>4</v>
      </c>
      <c r="E214" s="10">
        <v>52</v>
      </c>
      <c r="F214" s="10"/>
      <c r="G214" s="10"/>
      <c r="H214" s="2" t="s">
        <v>787</v>
      </c>
      <c r="I214" s="2" t="s">
        <v>1703</v>
      </c>
      <c r="J214" s="2" t="s">
        <v>1704</v>
      </c>
      <c r="K214" s="2" t="s">
        <v>1705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 ht="71.25">
      <c r="A215" s="2" t="s">
        <v>919</v>
      </c>
      <c r="B215" s="2" t="s">
        <v>916</v>
      </c>
      <c r="C215" s="2">
        <v>10</v>
      </c>
      <c r="D215" s="10">
        <v>4.5</v>
      </c>
      <c r="E215" s="10">
        <v>38</v>
      </c>
      <c r="F215" s="10"/>
      <c r="G215" s="10"/>
      <c r="H215" s="2" t="s">
        <v>787</v>
      </c>
      <c r="I215" s="2" t="s">
        <v>1703</v>
      </c>
      <c r="J215" s="2" t="s">
        <v>1704</v>
      </c>
      <c r="K215" s="2" t="s">
        <v>1705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 ht="71.25">
      <c r="A216" s="2" t="s">
        <v>919</v>
      </c>
      <c r="B216" s="2" t="s">
        <v>916</v>
      </c>
      <c r="C216" s="2">
        <v>11</v>
      </c>
      <c r="D216" s="10">
        <v>5</v>
      </c>
      <c r="E216" s="10">
        <v>23</v>
      </c>
      <c r="F216" s="10"/>
      <c r="G216" s="10"/>
      <c r="H216" s="2" t="s">
        <v>787</v>
      </c>
      <c r="I216" s="2" t="s">
        <v>1703</v>
      </c>
      <c r="J216" s="2" t="s">
        <v>1704</v>
      </c>
      <c r="K216" s="2" t="s">
        <v>1705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 ht="71.25">
      <c r="A217" s="2" t="s">
        <v>919</v>
      </c>
      <c r="B217" s="2" t="s">
        <v>916</v>
      </c>
      <c r="C217" s="2">
        <v>12</v>
      </c>
      <c r="D217" s="10">
        <v>5.5</v>
      </c>
      <c r="E217" s="10">
        <v>10</v>
      </c>
      <c r="F217" s="10"/>
      <c r="G217" s="10"/>
      <c r="H217" s="2" t="s">
        <v>787</v>
      </c>
      <c r="I217" s="2" t="s">
        <v>1703</v>
      </c>
      <c r="J217" s="2" t="s">
        <v>1704</v>
      </c>
      <c r="K217" s="2" t="s">
        <v>1705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 ht="71.25">
      <c r="A218" s="2" t="s">
        <v>919</v>
      </c>
      <c r="B218" s="2" t="s">
        <v>916</v>
      </c>
      <c r="C218" s="2">
        <v>13</v>
      </c>
      <c r="D218" s="10">
        <v>6</v>
      </c>
      <c r="E218" s="10">
        <v>0</v>
      </c>
      <c r="F218" s="10"/>
      <c r="G218" s="10"/>
      <c r="H218" s="2" t="s">
        <v>787</v>
      </c>
      <c r="I218" s="2" t="s">
        <v>1703</v>
      </c>
      <c r="J218" s="2" t="s">
        <v>1704</v>
      </c>
      <c r="K218" s="2" t="s">
        <v>1705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10"/>
      <c r="E219" s="10"/>
      <c r="F219" s="10"/>
      <c r="G219" s="10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10"/>
      <c r="E220" s="10"/>
      <c r="F220" s="10"/>
      <c r="G220" s="10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10"/>
      <c r="E221" s="10"/>
      <c r="F221" s="10"/>
      <c r="G221" s="10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10"/>
      <c r="E222" s="10"/>
      <c r="F222" s="10"/>
      <c r="G222" s="10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10"/>
      <c r="E223" s="10"/>
      <c r="F223" s="10"/>
      <c r="G223" s="10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10"/>
      <c r="E224" s="10"/>
      <c r="F224" s="10"/>
      <c r="G224" s="10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10"/>
      <c r="E225" s="10"/>
      <c r="F225" s="10"/>
      <c r="G225" s="10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10"/>
      <c r="E226" s="10"/>
      <c r="F226" s="10"/>
      <c r="G226" s="10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10"/>
      <c r="E227" s="10"/>
      <c r="F227" s="10"/>
      <c r="G227" s="10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10"/>
      <c r="E228" s="10"/>
      <c r="F228" s="10"/>
      <c r="G228" s="10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10"/>
      <c r="E229" s="10"/>
      <c r="F229" s="10"/>
      <c r="G229" s="10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10"/>
      <c r="E230" s="10"/>
      <c r="F230" s="10"/>
      <c r="G230" s="10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10"/>
      <c r="E231" s="10"/>
      <c r="F231" s="10"/>
      <c r="G231" s="10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10"/>
      <c r="E232" s="10"/>
      <c r="F232" s="10"/>
      <c r="G232" s="10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10"/>
      <c r="E233" s="10"/>
      <c r="F233" s="10"/>
      <c r="G233" s="10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10"/>
      <c r="E234" s="10"/>
      <c r="F234" s="10"/>
      <c r="G234" s="10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10"/>
      <c r="E235" s="10"/>
      <c r="F235" s="10"/>
      <c r="G235" s="10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10"/>
      <c r="E236" s="10"/>
      <c r="F236" s="10"/>
      <c r="G236" s="10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10"/>
      <c r="E237" s="10"/>
      <c r="F237" s="10"/>
      <c r="G237" s="10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10"/>
      <c r="E238" s="10"/>
      <c r="F238" s="10"/>
      <c r="G238" s="10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10"/>
      <c r="E239" s="10"/>
      <c r="F239" s="10"/>
      <c r="G239" s="10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10"/>
      <c r="E240" s="10"/>
      <c r="F240" s="10"/>
      <c r="G240" s="10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10"/>
      <c r="E241" s="10"/>
      <c r="F241" s="10"/>
      <c r="G241" s="10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10"/>
      <c r="E242" s="10"/>
      <c r="F242" s="10"/>
      <c r="G242" s="10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10"/>
      <c r="E243" s="10"/>
      <c r="F243" s="10"/>
      <c r="G243" s="10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10"/>
      <c r="E244" s="10"/>
      <c r="F244" s="10"/>
      <c r="G244" s="10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10"/>
      <c r="E245" s="10"/>
      <c r="F245" s="10"/>
      <c r="G245" s="10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10"/>
      <c r="E246" s="10"/>
      <c r="F246" s="10"/>
      <c r="G246" s="10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10"/>
      <c r="E247" s="10"/>
      <c r="F247" s="10"/>
      <c r="G247" s="10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10"/>
      <c r="E248" s="10"/>
      <c r="F248" s="10"/>
      <c r="G248" s="10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10"/>
      <c r="E249" s="10"/>
      <c r="F249" s="10"/>
      <c r="G249" s="10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10"/>
      <c r="E250" s="10"/>
      <c r="F250" s="10"/>
      <c r="G250" s="10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10"/>
      <c r="E251" s="10"/>
      <c r="F251" s="10"/>
      <c r="G251" s="10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10"/>
      <c r="E252" s="10"/>
      <c r="F252" s="10"/>
      <c r="G252" s="10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10"/>
      <c r="E253" s="10"/>
      <c r="F253" s="10"/>
      <c r="G253" s="10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10"/>
      <c r="E254" s="10"/>
      <c r="F254" s="10"/>
      <c r="G254" s="10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10"/>
      <c r="E255" s="10"/>
      <c r="F255" s="10"/>
      <c r="G255" s="10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10"/>
      <c r="E256" s="10"/>
      <c r="F256" s="10"/>
      <c r="G256" s="10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10"/>
      <c r="E257" s="10"/>
      <c r="F257" s="10"/>
      <c r="G257" s="10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10"/>
      <c r="E258" s="10"/>
      <c r="F258" s="10"/>
      <c r="G258" s="10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10"/>
      <c r="E259" s="10"/>
      <c r="F259" s="10"/>
      <c r="G259" s="10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10"/>
      <c r="E260" s="10"/>
      <c r="F260" s="10"/>
      <c r="G260" s="10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10"/>
      <c r="E261" s="10"/>
      <c r="F261" s="10"/>
      <c r="G261" s="10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10"/>
      <c r="E262" s="10"/>
      <c r="F262" s="10"/>
      <c r="G262" s="10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10"/>
      <c r="E263" s="10"/>
      <c r="F263" s="10"/>
      <c r="G263" s="10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10"/>
      <c r="E264" s="10"/>
      <c r="F264" s="10"/>
      <c r="G264" s="10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10"/>
      <c r="E265" s="10"/>
      <c r="F265" s="10"/>
      <c r="G265" s="10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10"/>
      <c r="E266" s="10"/>
      <c r="F266" s="10"/>
      <c r="G266" s="10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10"/>
      <c r="E267" s="10"/>
      <c r="F267" s="10"/>
      <c r="G267" s="10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10"/>
      <c r="E268" s="10"/>
      <c r="F268" s="10"/>
      <c r="G268" s="10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10"/>
      <c r="E269" s="10"/>
      <c r="F269" s="10"/>
      <c r="G269" s="10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10"/>
      <c r="E270" s="10"/>
      <c r="F270" s="10"/>
      <c r="G270" s="10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10"/>
      <c r="E271" s="10"/>
      <c r="F271" s="10"/>
      <c r="G271" s="10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10"/>
      <c r="E272" s="10"/>
      <c r="F272" s="10"/>
      <c r="G272" s="10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10"/>
      <c r="E273" s="10"/>
      <c r="F273" s="10"/>
      <c r="G273" s="10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10"/>
      <c r="E274" s="10"/>
      <c r="F274" s="10"/>
      <c r="G274" s="10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10"/>
      <c r="E275" s="10"/>
      <c r="F275" s="10"/>
      <c r="G275" s="10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10"/>
      <c r="E276" s="10"/>
      <c r="F276" s="10"/>
      <c r="G276" s="10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10"/>
      <c r="E277" s="10"/>
      <c r="F277" s="10"/>
      <c r="G277" s="10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10"/>
      <c r="E278" s="10"/>
      <c r="F278" s="10"/>
      <c r="G278" s="10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10"/>
      <c r="E279" s="10"/>
      <c r="F279" s="10"/>
      <c r="G279" s="10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10"/>
      <c r="E280" s="10"/>
      <c r="F280" s="10"/>
      <c r="G280" s="10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10"/>
      <c r="E281" s="10"/>
      <c r="F281" s="10"/>
      <c r="G281" s="10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10"/>
      <c r="E282" s="10"/>
      <c r="F282" s="10"/>
      <c r="G282" s="10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10"/>
      <c r="E283" s="10"/>
      <c r="F283" s="10"/>
      <c r="G283" s="10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10"/>
      <c r="E284" s="10"/>
      <c r="F284" s="10"/>
      <c r="G284" s="10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10"/>
      <c r="E285" s="10"/>
      <c r="F285" s="10"/>
      <c r="G285" s="10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10"/>
      <c r="E286" s="10"/>
      <c r="F286" s="10"/>
      <c r="G286" s="10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10"/>
      <c r="E287" s="10"/>
      <c r="F287" s="10"/>
      <c r="G287" s="10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10"/>
      <c r="E288" s="10"/>
      <c r="F288" s="10"/>
      <c r="G288" s="10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10"/>
      <c r="E289" s="10"/>
      <c r="F289" s="10"/>
      <c r="G289" s="10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10"/>
      <c r="E290" s="10"/>
      <c r="F290" s="10"/>
      <c r="G290" s="10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10"/>
      <c r="E291" s="10"/>
      <c r="F291" s="10"/>
      <c r="G291" s="10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10"/>
      <c r="E292" s="10"/>
      <c r="F292" s="10"/>
      <c r="G292" s="10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10"/>
      <c r="E293" s="10"/>
      <c r="F293" s="10"/>
      <c r="G293" s="10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10"/>
      <c r="E294" s="10"/>
      <c r="F294" s="10"/>
      <c r="G294" s="10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10"/>
      <c r="E295" s="10"/>
      <c r="F295" s="10"/>
      <c r="G295" s="10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10"/>
      <c r="E296" s="10"/>
      <c r="F296" s="10"/>
      <c r="G296" s="10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10"/>
      <c r="E297" s="10"/>
      <c r="F297" s="10"/>
      <c r="G297" s="10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10"/>
      <c r="E298" s="10"/>
      <c r="F298" s="10"/>
      <c r="G298" s="10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10"/>
      <c r="E299" s="10"/>
      <c r="F299" s="10"/>
      <c r="G299" s="10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10"/>
      <c r="E300" s="10"/>
      <c r="F300" s="10"/>
      <c r="G300" s="10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10"/>
      <c r="E301" s="10"/>
      <c r="F301" s="10"/>
      <c r="G301" s="10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10"/>
      <c r="E302" s="10"/>
      <c r="F302" s="10"/>
      <c r="G302" s="10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10"/>
      <c r="E303" s="10"/>
      <c r="F303" s="10"/>
      <c r="G303" s="10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10"/>
      <c r="E304" s="10"/>
      <c r="F304" s="10"/>
      <c r="G304" s="10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10"/>
      <c r="E305" s="10"/>
      <c r="F305" s="10"/>
      <c r="G305" s="10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10"/>
      <c r="E306" s="10"/>
      <c r="F306" s="10"/>
      <c r="G306" s="10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10"/>
      <c r="E307" s="10"/>
      <c r="F307" s="10"/>
      <c r="G307" s="10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10"/>
      <c r="E308" s="10"/>
      <c r="F308" s="10"/>
      <c r="G308" s="10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10"/>
      <c r="E309" s="10"/>
      <c r="F309" s="10"/>
      <c r="G309" s="10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10"/>
      <c r="E310" s="10"/>
      <c r="F310" s="10"/>
      <c r="G310" s="10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10"/>
      <c r="E311" s="10"/>
      <c r="F311" s="10"/>
      <c r="G311" s="10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10"/>
      <c r="E312" s="10"/>
      <c r="F312" s="10"/>
      <c r="G312" s="10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10"/>
      <c r="E313" s="10"/>
      <c r="F313" s="10"/>
      <c r="G313" s="10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10"/>
      <c r="E314" s="10"/>
      <c r="F314" s="10"/>
      <c r="G314" s="10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10"/>
      <c r="E315" s="10"/>
      <c r="F315" s="10"/>
      <c r="G315" s="10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10"/>
      <c r="E316" s="10"/>
      <c r="F316" s="10"/>
      <c r="G316" s="10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10"/>
      <c r="E317" s="10"/>
      <c r="F317" s="10"/>
      <c r="G317" s="10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10"/>
      <c r="E318" s="10"/>
      <c r="F318" s="10"/>
      <c r="G318" s="10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10"/>
      <c r="E319" s="10"/>
      <c r="F319" s="10"/>
      <c r="G319" s="10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10"/>
      <c r="E320" s="10"/>
      <c r="F320" s="10"/>
      <c r="G320" s="10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10"/>
      <c r="E321" s="10"/>
      <c r="F321" s="10"/>
      <c r="G321" s="10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10"/>
      <c r="E322" s="10"/>
      <c r="F322" s="10"/>
      <c r="G322" s="10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10"/>
      <c r="E323" s="10"/>
      <c r="F323" s="10"/>
      <c r="G323" s="10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10"/>
      <c r="E324" s="10"/>
      <c r="F324" s="10"/>
      <c r="G324" s="10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10"/>
      <c r="E325" s="10"/>
      <c r="F325" s="10"/>
      <c r="G325" s="10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10"/>
      <c r="E326" s="10"/>
      <c r="F326" s="10"/>
      <c r="G326" s="10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10"/>
      <c r="E327" s="10"/>
      <c r="F327" s="10"/>
      <c r="G327" s="10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10"/>
      <c r="E328" s="10"/>
      <c r="F328" s="10"/>
      <c r="G328" s="10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10"/>
      <c r="E329" s="10"/>
      <c r="F329" s="10"/>
      <c r="G329" s="10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10"/>
      <c r="E330" s="10"/>
      <c r="F330" s="10"/>
      <c r="G330" s="10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10"/>
      <c r="E331" s="10"/>
      <c r="F331" s="10"/>
      <c r="G331" s="10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10"/>
      <c r="E332" s="10"/>
      <c r="F332" s="10"/>
      <c r="G332" s="10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10"/>
      <c r="E333" s="10"/>
      <c r="F333" s="10"/>
      <c r="G333" s="10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10"/>
      <c r="E334" s="10"/>
      <c r="F334" s="10"/>
      <c r="G334" s="10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10"/>
      <c r="E335" s="10"/>
      <c r="F335" s="10"/>
      <c r="G335" s="10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10"/>
      <c r="E336" s="10"/>
      <c r="F336" s="10"/>
      <c r="G336" s="10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10"/>
      <c r="E337" s="10"/>
      <c r="F337" s="10"/>
      <c r="G337" s="10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10"/>
      <c r="E338" s="10"/>
      <c r="F338" s="10"/>
      <c r="G338" s="10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10"/>
      <c r="E339" s="10"/>
      <c r="F339" s="10"/>
      <c r="G339" s="10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10"/>
      <c r="E340" s="10"/>
      <c r="F340" s="10"/>
      <c r="G340" s="10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10"/>
      <c r="E341" s="10"/>
      <c r="F341" s="10"/>
      <c r="G341" s="10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10"/>
      <c r="E342" s="10"/>
      <c r="F342" s="10"/>
      <c r="G342" s="10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10"/>
      <c r="E343" s="10"/>
      <c r="F343" s="10"/>
      <c r="G343" s="10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10"/>
      <c r="E344" s="10"/>
      <c r="F344" s="10"/>
      <c r="G344" s="10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10"/>
      <c r="E345" s="10"/>
      <c r="F345" s="10"/>
      <c r="G345" s="10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10"/>
      <c r="E346" s="10"/>
      <c r="F346" s="10"/>
      <c r="G346" s="10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10"/>
      <c r="E347" s="10"/>
      <c r="F347" s="10"/>
      <c r="G347" s="10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10"/>
      <c r="E348" s="10"/>
      <c r="F348" s="10"/>
      <c r="G348" s="10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10"/>
      <c r="E349" s="10"/>
      <c r="F349" s="10"/>
      <c r="G349" s="10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10"/>
      <c r="E350" s="10"/>
      <c r="F350" s="10"/>
      <c r="G350" s="10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10"/>
      <c r="E351" s="10"/>
      <c r="F351" s="10"/>
      <c r="G351" s="10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10"/>
      <c r="E352" s="10"/>
      <c r="F352" s="10"/>
      <c r="G352" s="10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10"/>
      <c r="E353" s="10"/>
      <c r="F353" s="10"/>
      <c r="G353" s="10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10"/>
      <c r="E354" s="10"/>
      <c r="F354" s="10"/>
      <c r="G354" s="10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10"/>
      <c r="E355" s="10"/>
      <c r="F355" s="10"/>
      <c r="G355" s="10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10"/>
      <c r="E356" s="10"/>
      <c r="F356" s="10"/>
      <c r="G356" s="10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10"/>
      <c r="E357" s="10"/>
      <c r="F357" s="10"/>
      <c r="G357" s="10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10"/>
      <c r="E358" s="10"/>
      <c r="F358" s="10"/>
      <c r="G358" s="10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10"/>
      <c r="E359" s="10"/>
      <c r="F359" s="10"/>
      <c r="G359" s="10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10"/>
      <c r="E360" s="10"/>
      <c r="F360" s="10"/>
      <c r="G360" s="10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10"/>
      <c r="E361" s="10"/>
      <c r="F361" s="10"/>
      <c r="G361" s="10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10"/>
      <c r="E362" s="10"/>
      <c r="F362" s="10"/>
      <c r="G362" s="10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10"/>
      <c r="E363" s="10"/>
      <c r="F363" s="10"/>
      <c r="G363" s="10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10"/>
      <c r="E364" s="10"/>
      <c r="F364" s="10"/>
      <c r="G364" s="10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10"/>
      <c r="E365" s="10"/>
      <c r="F365" s="10"/>
      <c r="G365" s="10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10"/>
      <c r="E366" s="10"/>
      <c r="F366" s="10"/>
      <c r="G366" s="10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10"/>
      <c r="E367" s="10"/>
      <c r="F367" s="10"/>
      <c r="G367" s="10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10"/>
      <c r="E368" s="10"/>
      <c r="F368" s="10"/>
      <c r="G368" s="10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10"/>
      <c r="E369" s="10"/>
      <c r="F369" s="10"/>
      <c r="G369" s="10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10"/>
      <c r="E370" s="10"/>
      <c r="F370" s="10"/>
      <c r="G370" s="10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10"/>
      <c r="E371" s="10"/>
      <c r="F371" s="10"/>
      <c r="G371" s="10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10"/>
      <c r="E372" s="10"/>
      <c r="F372" s="10"/>
      <c r="G372" s="10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10"/>
      <c r="E373" s="10"/>
      <c r="F373" s="10"/>
      <c r="G373" s="10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10"/>
      <c r="E374" s="10"/>
      <c r="F374" s="10"/>
      <c r="G374" s="10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10"/>
      <c r="E375" s="10"/>
      <c r="F375" s="10"/>
      <c r="G375" s="10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10"/>
      <c r="E376" s="10"/>
      <c r="F376" s="10"/>
      <c r="G376" s="10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10"/>
      <c r="E377" s="10"/>
      <c r="F377" s="10"/>
      <c r="G377" s="10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10"/>
      <c r="E378" s="10"/>
      <c r="F378" s="10"/>
      <c r="G378" s="10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10"/>
      <c r="E379" s="10"/>
      <c r="F379" s="10"/>
      <c r="G379" s="10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10"/>
      <c r="E380" s="10"/>
      <c r="F380" s="10"/>
      <c r="G380" s="10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10"/>
      <c r="E381" s="10"/>
      <c r="F381" s="10"/>
      <c r="G381" s="10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10"/>
      <c r="E382" s="10"/>
      <c r="F382" s="10"/>
      <c r="G382" s="10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10"/>
      <c r="E383" s="10"/>
      <c r="F383" s="10"/>
      <c r="G383" s="10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10"/>
      <c r="E384" s="10"/>
      <c r="F384" s="10"/>
      <c r="G384" s="10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10"/>
      <c r="E385" s="10"/>
      <c r="F385" s="10"/>
      <c r="G385" s="10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10"/>
      <c r="E386" s="10"/>
      <c r="F386" s="10"/>
      <c r="G386" s="10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10"/>
      <c r="E387" s="10"/>
      <c r="F387" s="10"/>
      <c r="G387" s="10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10"/>
      <c r="E388" s="10"/>
      <c r="F388" s="10"/>
      <c r="G388" s="10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10"/>
      <c r="E389" s="10"/>
      <c r="F389" s="10"/>
      <c r="G389" s="10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10"/>
      <c r="E390" s="10"/>
      <c r="F390" s="10"/>
      <c r="G390" s="10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10"/>
      <c r="E391" s="10"/>
      <c r="F391" s="10"/>
      <c r="G391" s="10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10"/>
      <c r="E392" s="10"/>
      <c r="F392" s="10"/>
      <c r="G392" s="10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10"/>
      <c r="E393" s="10"/>
      <c r="F393" s="10"/>
      <c r="G393" s="10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10"/>
      <c r="E394" s="10"/>
      <c r="F394" s="10"/>
      <c r="G394" s="10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10"/>
      <c r="E395" s="10"/>
      <c r="F395" s="10"/>
      <c r="G395" s="10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10"/>
      <c r="E396" s="10"/>
      <c r="F396" s="10"/>
      <c r="G396" s="10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10"/>
      <c r="E397" s="10"/>
      <c r="F397" s="10"/>
      <c r="G397" s="10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10"/>
      <c r="E398" s="10"/>
      <c r="F398" s="10"/>
      <c r="G398" s="10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10"/>
      <c r="E399" s="10"/>
      <c r="F399" s="10"/>
      <c r="G399" s="10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10"/>
      <c r="E400" s="10"/>
      <c r="F400" s="10"/>
      <c r="G400" s="10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4:7">
      <c r="D401" s="11"/>
      <c r="E401" s="11"/>
      <c r="F401" s="11"/>
      <c r="G401" s="11"/>
    </row>
    <row r="402" spans="4:7">
      <c r="D402" s="11"/>
      <c r="E402" s="11"/>
      <c r="F402" s="11"/>
      <c r="G402" s="11"/>
    </row>
    <row r="403" spans="4:7">
      <c r="D403" s="11"/>
      <c r="E403" s="11"/>
      <c r="F403" s="11"/>
      <c r="G403" s="11"/>
    </row>
    <row r="404" spans="4:7">
      <c r="D404" s="11"/>
      <c r="E404" s="11"/>
      <c r="F404" s="11"/>
      <c r="G404" s="11"/>
    </row>
    <row r="405" spans="4:7">
      <c r="D405" s="11"/>
      <c r="E405" s="11"/>
      <c r="F405" s="11"/>
      <c r="G405" s="11"/>
    </row>
    <row r="406" spans="4:7">
      <c r="D406" s="11"/>
      <c r="E406" s="11"/>
      <c r="F406" s="11"/>
      <c r="G406" s="11"/>
    </row>
    <row r="407" spans="4:7">
      <c r="D407" s="11"/>
      <c r="E407" s="11"/>
      <c r="F407" s="11"/>
      <c r="G407" s="11"/>
    </row>
    <row r="408" spans="4:7">
      <c r="D408" s="11"/>
      <c r="E408" s="11"/>
      <c r="F408" s="11"/>
      <c r="G408" s="11"/>
    </row>
    <row r="409" spans="4:7">
      <c r="D409" s="11"/>
      <c r="E409" s="11"/>
      <c r="F409" s="11"/>
      <c r="G409" s="11"/>
    </row>
    <row r="410" spans="4:7">
      <c r="D410" s="11"/>
      <c r="E410" s="11"/>
      <c r="F410" s="11"/>
      <c r="G410" s="11"/>
    </row>
    <row r="411" spans="4:7">
      <c r="D411" s="11"/>
      <c r="E411" s="11"/>
      <c r="F411" s="11"/>
      <c r="G411" s="11"/>
    </row>
    <row r="412" spans="4:7">
      <c r="D412" s="11"/>
      <c r="E412" s="11"/>
      <c r="F412" s="11"/>
      <c r="G412" s="11"/>
    </row>
    <row r="413" spans="4:7">
      <c r="D413" s="11"/>
      <c r="E413" s="11"/>
      <c r="F413" s="11"/>
      <c r="G413" s="11"/>
    </row>
    <row r="414" spans="4:7">
      <c r="D414" s="11"/>
      <c r="E414" s="11"/>
      <c r="F414" s="11"/>
      <c r="G414" s="11"/>
    </row>
    <row r="415" spans="4:7">
      <c r="D415" s="11"/>
      <c r="E415" s="11"/>
      <c r="F415" s="11"/>
      <c r="G415" s="11"/>
    </row>
    <row r="416" spans="4:7">
      <c r="D416" s="11"/>
      <c r="E416" s="11"/>
      <c r="F416" s="11"/>
      <c r="G416" s="11"/>
    </row>
    <row r="417" spans="4:7">
      <c r="D417" s="11"/>
      <c r="E417" s="11"/>
      <c r="F417" s="11"/>
      <c r="G417" s="11"/>
    </row>
    <row r="418" spans="4:7">
      <c r="D418" s="11"/>
      <c r="E418" s="11"/>
      <c r="F418" s="11"/>
      <c r="G418" s="11"/>
    </row>
    <row r="419" spans="4:7">
      <c r="D419" s="11"/>
      <c r="E419" s="11"/>
      <c r="F419" s="11"/>
      <c r="G419" s="11"/>
    </row>
    <row r="420" spans="4:7">
      <c r="D420" s="11"/>
      <c r="E420" s="11"/>
      <c r="F420" s="11"/>
      <c r="G420" s="11"/>
    </row>
    <row r="421" spans="4:7">
      <c r="D421" s="11"/>
      <c r="E421" s="11"/>
      <c r="F421" s="11"/>
      <c r="G421" s="11"/>
    </row>
    <row r="422" spans="4:7">
      <c r="D422" s="11"/>
      <c r="E422" s="11"/>
      <c r="F422" s="11"/>
      <c r="G422" s="11"/>
    </row>
    <row r="423" spans="4:7">
      <c r="D423" s="11"/>
      <c r="E423" s="11"/>
      <c r="F423" s="11"/>
      <c r="G423" s="11"/>
    </row>
    <row r="424" spans="4:7">
      <c r="D424" s="11"/>
      <c r="E424" s="11"/>
      <c r="F424" s="11"/>
      <c r="G424" s="11"/>
    </row>
    <row r="425" spans="4:7">
      <c r="D425" s="11"/>
      <c r="E425" s="11"/>
      <c r="F425" s="11"/>
      <c r="G425" s="11"/>
    </row>
    <row r="426" spans="4:7">
      <c r="D426" s="11"/>
      <c r="E426" s="11"/>
      <c r="F426" s="11"/>
      <c r="G426" s="11"/>
    </row>
    <row r="427" spans="4:7">
      <c r="D427" s="11"/>
      <c r="E427" s="11"/>
      <c r="F427" s="11"/>
      <c r="G427" s="11"/>
    </row>
    <row r="428" spans="4:7">
      <c r="D428" s="11"/>
      <c r="E428" s="11"/>
      <c r="F428" s="11"/>
      <c r="G428" s="11"/>
    </row>
    <row r="429" spans="4:7">
      <c r="D429" s="11"/>
      <c r="E429" s="11"/>
      <c r="F429" s="11"/>
      <c r="G429" s="11"/>
    </row>
    <row r="430" spans="4:7">
      <c r="D430" s="11"/>
      <c r="E430" s="11"/>
      <c r="F430" s="11"/>
      <c r="G430" s="11"/>
    </row>
    <row r="431" spans="4:7">
      <c r="D431" s="11"/>
      <c r="E431" s="11"/>
      <c r="F431" s="11"/>
      <c r="G431" s="11"/>
    </row>
    <row r="432" spans="4:7">
      <c r="D432" s="11"/>
      <c r="E432" s="11"/>
      <c r="F432" s="11"/>
      <c r="G432" s="11"/>
    </row>
    <row r="433" spans="4:7">
      <c r="D433" s="11"/>
      <c r="E433" s="11"/>
      <c r="F433" s="11"/>
      <c r="G433" s="11"/>
    </row>
    <row r="434" spans="4:7">
      <c r="D434" s="11"/>
      <c r="E434" s="11"/>
      <c r="F434" s="11"/>
      <c r="G434" s="11"/>
    </row>
    <row r="435" spans="4:7">
      <c r="D435" s="11"/>
      <c r="E435" s="11"/>
      <c r="F435" s="11"/>
      <c r="G435" s="11"/>
    </row>
    <row r="436" spans="4:7">
      <c r="D436" s="11"/>
      <c r="E436" s="11"/>
      <c r="F436" s="11"/>
      <c r="G436" s="11"/>
    </row>
    <row r="437" spans="4:7">
      <c r="D437" s="11"/>
      <c r="E437" s="11"/>
      <c r="F437" s="11"/>
      <c r="G437" s="11"/>
    </row>
    <row r="438" spans="4:7">
      <c r="D438" s="11"/>
      <c r="E438" s="11"/>
      <c r="F438" s="11"/>
      <c r="G438" s="11"/>
    </row>
    <row r="439" spans="4:7">
      <c r="D439" s="11"/>
      <c r="E439" s="11"/>
      <c r="F439" s="11"/>
      <c r="G439" s="11"/>
    </row>
    <row r="440" spans="4:7">
      <c r="D440" s="11"/>
      <c r="E440" s="11"/>
      <c r="F440" s="11"/>
      <c r="G440" s="11"/>
    </row>
    <row r="441" spans="4:7">
      <c r="D441" s="11"/>
      <c r="E441" s="11"/>
      <c r="F441" s="11"/>
      <c r="G441" s="11"/>
    </row>
    <row r="442" spans="4:7">
      <c r="D442" s="11"/>
      <c r="E442" s="11"/>
      <c r="F442" s="11"/>
      <c r="G442" s="11"/>
    </row>
    <row r="443" spans="4:7">
      <c r="D443" s="11"/>
      <c r="E443" s="11"/>
      <c r="F443" s="11"/>
      <c r="G443" s="11"/>
    </row>
    <row r="444" spans="4:7">
      <c r="D444" s="11"/>
      <c r="E444" s="11"/>
      <c r="F444" s="11"/>
      <c r="G444" s="11"/>
    </row>
    <row r="445" spans="4:7">
      <c r="D445" s="11"/>
      <c r="E445" s="11"/>
      <c r="F445" s="11"/>
      <c r="G445" s="11"/>
    </row>
    <row r="446" spans="4:7">
      <c r="D446" s="11"/>
      <c r="E446" s="11"/>
      <c r="F446" s="11"/>
      <c r="G446" s="11"/>
    </row>
    <row r="447" spans="4:7">
      <c r="D447" s="11"/>
      <c r="E447" s="11"/>
      <c r="F447" s="11"/>
      <c r="G447" s="11"/>
    </row>
    <row r="448" spans="4:7">
      <c r="D448" s="11"/>
      <c r="E448" s="11"/>
      <c r="F448" s="11"/>
      <c r="G448" s="11"/>
    </row>
    <row r="449" spans="4:7">
      <c r="D449" s="11"/>
      <c r="E449" s="11"/>
      <c r="F449" s="11"/>
      <c r="G449" s="11"/>
    </row>
    <row r="450" spans="4:7">
      <c r="D450" s="11"/>
      <c r="E450" s="11"/>
      <c r="F450" s="11"/>
      <c r="G450" s="11"/>
    </row>
    <row r="451" spans="4:7">
      <c r="D451" s="11"/>
      <c r="E451" s="11"/>
      <c r="F451" s="11"/>
      <c r="G451" s="11"/>
    </row>
    <row r="452" spans="4:7">
      <c r="D452" s="11"/>
      <c r="E452" s="11"/>
      <c r="F452" s="11"/>
      <c r="G452" s="11"/>
    </row>
    <row r="453" spans="4:7">
      <c r="D453" s="11"/>
      <c r="E453" s="11"/>
      <c r="F453" s="11"/>
      <c r="G453" s="11"/>
    </row>
    <row r="454" spans="4:7">
      <c r="D454" s="11"/>
      <c r="E454" s="11"/>
      <c r="F454" s="11"/>
      <c r="G454" s="11"/>
    </row>
    <row r="455" spans="4:7">
      <c r="D455" s="11"/>
      <c r="E455" s="11"/>
      <c r="F455" s="11"/>
      <c r="G455" s="11"/>
    </row>
    <row r="456" spans="4:7">
      <c r="D456" s="11"/>
      <c r="E456" s="11"/>
      <c r="F456" s="11"/>
      <c r="G456" s="11"/>
    </row>
    <row r="457" spans="4:7">
      <c r="D457" s="11"/>
      <c r="E457" s="11"/>
      <c r="F457" s="11"/>
      <c r="G457" s="11"/>
    </row>
    <row r="458" spans="4:7">
      <c r="D458" s="11"/>
      <c r="E458" s="11"/>
      <c r="F458" s="11"/>
      <c r="G458" s="11"/>
    </row>
    <row r="459" spans="4:7">
      <c r="D459" s="11"/>
      <c r="E459" s="11"/>
      <c r="F459" s="11"/>
      <c r="G459" s="11"/>
    </row>
    <row r="460" spans="4:7">
      <c r="D460" s="11"/>
      <c r="E460" s="11"/>
      <c r="F460" s="11"/>
      <c r="G460" s="11"/>
    </row>
    <row r="461" spans="4:7">
      <c r="D461" s="11"/>
      <c r="E461" s="11"/>
      <c r="F461" s="11"/>
      <c r="G461" s="11"/>
    </row>
    <row r="462" spans="4:7">
      <c r="D462" s="11"/>
      <c r="E462" s="11"/>
      <c r="F462" s="11"/>
      <c r="G462" s="11"/>
    </row>
    <row r="463" spans="4:7">
      <c r="D463" s="11"/>
      <c r="E463" s="11"/>
      <c r="F463" s="11"/>
      <c r="G463" s="11"/>
    </row>
    <row r="464" spans="4:7">
      <c r="D464" s="11"/>
      <c r="E464" s="11"/>
      <c r="F464" s="11"/>
      <c r="G464" s="11"/>
    </row>
    <row r="465" spans="4:7">
      <c r="D465" s="11"/>
      <c r="E465" s="11"/>
      <c r="F465" s="11"/>
      <c r="G465" s="11"/>
    </row>
    <row r="466" spans="4:7">
      <c r="D466" s="11"/>
      <c r="E466" s="11"/>
      <c r="F466" s="11"/>
      <c r="G466" s="11"/>
    </row>
    <row r="467" spans="4:7">
      <c r="D467" s="11"/>
      <c r="E467" s="11"/>
      <c r="F467" s="11"/>
      <c r="G467" s="11"/>
    </row>
    <row r="468" spans="4:7">
      <c r="D468" s="11"/>
      <c r="E468" s="11"/>
      <c r="F468" s="11"/>
      <c r="G468" s="11"/>
    </row>
    <row r="469" spans="4:7">
      <c r="D469" s="11"/>
      <c r="E469" s="11"/>
      <c r="F469" s="11"/>
      <c r="G469" s="11"/>
    </row>
    <row r="470" spans="4:7">
      <c r="D470" s="11"/>
      <c r="E470" s="11"/>
      <c r="F470" s="11"/>
      <c r="G470" s="11"/>
    </row>
    <row r="471" spans="4:7">
      <c r="D471" s="11"/>
      <c r="E471" s="11"/>
      <c r="F471" s="11"/>
      <c r="G471" s="11"/>
    </row>
    <row r="472" spans="4:7">
      <c r="D472" s="11"/>
      <c r="E472" s="11"/>
      <c r="F472" s="11"/>
      <c r="G472" s="11"/>
    </row>
    <row r="473" spans="4:7">
      <c r="D473" s="11"/>
      <c r="E473" s="11"/>
      <c r="F473" s="11"/>
      <c r="G473" s="11"/>
    </row>
    <row r="474" spans="4:7">
      <c r="D474" s="11"/>
      <c r="E474" s="11"/>
      <c r="F474" s="11"/>
      <c r="G474" s="11"/>
    </row>
    <row r="475" spans="4:7">
      <c r="D475" s="11"/>
      <c r="E475" s="11"/>
      <c r="F475" s="11"/>
      <c r="G475" s="11"/>
    </row>
    <row r="476" spans="4:7">
      <c r="D476" s="11"/>
      <c r="E476" s="11"/>
      <c r="F476" s="11"/>
      <c r="G476" s="11"/>
    </row>
    <row r="477" spans="4:7">
      <c r="D477" s="11"/>
      <c r="E477" s="11"/>
      <c r="F477" s="11"/>
      <c r="G477" s="11"/>
    </row>
    <row r="478" spans="4:7">
      <c r="D478" s="11"/>
      <c r="E478" s="11"/>
      <c r="F478" s="11"/>
      <c r="G478" s="11"/>
    </row>
    <row r="479" spans="4:7">
      <c r="D479" s="11"/>
      <c r="E479" s="11"/>
      <c r="F479" s="11"/>
      <c r="G479" s="11"/>
    </row>
    <row r="480" spans="4:7">
      <c r="D480" s="11"/>
      <c r="E480" s="11"/>
      <c r="F480" s="11"/>
      <c r="G480" s="11"/>
    </row>
    <row r="481" spans="4:7">
      <c r="D481" s="11"/>
      <c r="E481" s="11"/>
      <c r="F481" s="11"/>
      <c r="G481" s="11"/>
    </row>
    <row r="482" spans="4:7">
      <c r="D482" s="11"/>
      <c r="E482" s="11"/>
      <c r="F482" s="11"/>
      <c r="G482" s="11"/>
    </row>
    <row r="483" spans="4:7">
      <c r="D483" s="11"/>
      <c r="E483" s="11"/>
      <c r="F483" s="11"/>
      <c r="G483" s="11"/>
    </row>
    <row r="484" spans="4:7">
      <c r="D484" s="11"/>
      <c r="E484" s="11"/>
      <c r="F484" s="11"/>
      <c r="G484" s="11"/>
    </row>
    <row r="485" spans="4:7">
      <c r="D485" s="11"/>
      <c r="E485" s="11"/>
      <c r="F485" s="11"/>
      <c r="G485" s="11"/>
    </row>
    <row r="486" spans="4:7">
      <c r="D486" s="11"/>
      <c r="E486" s="11"/>
      <c r="F486" s="11"/>
      <c r="G486" s="11"/>
    </row>
    <row r="487" spans="4:7">
      <c r="D487" s="11"/>
      <c r="E487" s="11"/>
      <c r="F487" s="11"/>
      <c r="G487" s="11"/>
    </row>
    <row r="488" spans="4:7">
      <c r="D488" s="11"/>
      <c r="E488" s="11"/>
      <c r="F488" s="11"/>
      <c r="G488" s="11"/>
    </row>
    <row r="489" spans="4:7">
      <c r="D489" s="11"/>
      <c r="E489" s="11"/>
      <c r="F489" s="11"/>
      <c r="G489" s="11"/>
    </row>
    <row r="490" spans="4:7">
      <c r="D490" s="11"/>
      <c r="E490" s="11"/>
      <c r="F490" s="11"/>
      <c r="G490" s="11"/>
    </row>
    <row r="491" spans="4:7">
      <c r="D491" s="11"/>
      <c r="E491" s="11"/>
      <c r="F491" s="11"/>
      <c r="G491" s="11"/>
    </row>
    <row r="492" spans="4:7">
      <c r="D492" s="11"/>
      <c r="E492" s="11"/>
      <c r="F492" s="11"/>
      <c r="G492" s="11"/>
    </row>
    <row r="493" spans="4:7">
      <c r="D493" s="11"/>
      <c r="E493" s="11"/>
      <c r="F493" s="11"/>
      <c r="G493" s="11"/>
    </row>
    <row r="494" spans="4:7">
      <c r="D494" s="11"/>
      <c r="E494" s="11"/>
      <c r="F494" s="11"/>
      <c r="G494" s="11"/>
    </row>
    <row r="495" spans="4:7">
      <c r="D495" s="11"/>
      <c r="E495" s="11"/>
      <c r="F495" s="11"/>
      <c r="G495" s="11"/>
    </row>
    <row r="496" spans="4:7">
      <c r="D496" s="11"/>
      <c r="E496" s="11"/>
      <c r="F496" s="11"/>
      <c r="G496" s="11"/>
    </row>
    <row r="497" spans="4:7">
      <c r="D497" s="11"/>
      <c r="E497" s="11"/>
      <c r="F497" s="11"/>
      <c r="G497" s="11"/>
    </row>
    <row r="498" spans="4:7">
      <c r="D498" s="11"/>
      <c r="E498" s="11"/>
      <c r="F498" s="11"/>
      <c r="G498" s="11"/>
    </row>
    <row r="499" spans="4:7">
      <c r="D499" s="11"/>
      <c r="E499" s="11"/>
      <c r="F499" s="11"/>
      <c r="G499" s="11"/>
    </row>
    <row r="500" spans="4:7">
      <c r="D500" s="11"/>
      <c r="E500" s="11"/>
      <c r="F500" s="11"/>
      <c r="G500" s="11"/>
    </row>
    <row r="501" spans="4:7">
      <c r="D501" s="11"/>
      <c r="E501" s="11"/>
      <c r="F501" s="11"/>
      <c r="G501" s="11"/>
    </row>
    <row r="502" spans="4:7">
      <c r="D502" s="11"/>
      <c r="E502" s="11"/>
      <c r="F502" s="11"/>
      <c r="G502" s="11"/>
    </row>
    <row r="503" spans="4:7">
      <c r="D503" s="11"/>
      <c r="E503" s="11"/>
      <c r="F503" s="11"/>
      <c r="G503" s="11"/>
    </row>
    <row r="504" spans="4:7">
      <c r="D504" s="11"/>
      <c r="E504" s="11"/>
      <c r="F504" s="11"/>
      <c r="G504" s="11"/>
    </row>
    <row r="505" spans="4:7">
      <c r="D505" s="11"/>
      <c r="E505" s="11"/>
      <c r="F505" s="11"/>
      <c r="G505" s="11"/>
    </row>
    <row r="506" spans="4:7">
      <c r="D506" s="11"/>
      <c r="E506" s="11"/>
      <c r="F506" s="11"/>
      <c r="G506" s="11"/>
    </row>
    <row r="507" spans="4:7">
      <c r="D507" s="11"/>
      <c r="E507" s="11"/>
      <c r="F507" s="11"/>
      <c r="G507" s="11"/>
    </row>
    <row r="508" spans="4:7">
      <c r="D508" s="11"/>
      <c r="E508" s="11"/>
      <c r="F508" s="11"/>
      <c r="G508" s="11"/>
    </row>
    <row r="509" spans="4:7">
      <c r="D509" s="11"/>
      <c r="E509" s="11"/>
      <c r="F509" s="11"/>
      <c r="G509" s="11"/>
    </row>
    <row r="510" spans="4:7">
      <c r="D510" s="11"/>
      <c r="E510" s="11"/>
      <c r="F510" s="11"/>
      <c r="G510" s="11"/>
    </row>
    <row r="511" spans="4:7">
      <c r="D511" s="11"/>
      <c r="E511" s="11"/>
      <c r="F511" s="11"/>
      <c r="G511" s="11"/>
    </row>
    <row r="512" spans="4:7">
      <c r="D512" s="11"/>
      <c r="E512" s="11"/>
      <c r="F512" s="11"/>
      <c r="G512" s="11"/>
    </row>
    <row r="513" spans="4:7">
      <c r="D513" s="11"/>
      <c r="E513" s="11"/>
      <c r="F513" s="11"/>
      <c r="G513" s="11"/>
    </row>
    <row r="514" spans="4:7">
      <c r="D514" s="11"/>
      <c r="E514" s="11"/>
      <c r="F514" s="11"/>
      <c r="G514" s="11"/>
    </row>
    <row r="515" spans="4:7">
      <c r="D515" s="11"/>
      <c r="E515" s="11"/>
      <c r="F515" s="11"/>
      <c r="G515" s="11"/>
    </row>
    <row r="516" spans="4:7">
      <c r="D516" s="11"/>
      <c r="E516" s="11"/>
      <c r="F516" s="11"/>
      <c r="G516" s="11"/>
    </row>
    <row r="517" spans="4:7">
      <c r="D517" s="11"/>
      <c r="E517" s="11"/>
      <c r="F517" s="11"/>
      <c r="G517" s="11"/>
    </row>
    <row r="518" spans="4:7">
      <c r="D518" s="11"/>
      <c r="E518" s="11"/>
      <c r="F518" s="11"/>
      <c r="G518" s="11"/>
    </row>
    <row r="519" spans="4:7">
      <c r="D519" s="11"/>
      <c r="E519" s="11"/>
      <c r="F519" s="11"/>
      <c r="G519" s="11"/>
    </row>
    <row r="520" spans="4:7">
      <c r="D520" s="11"/>
      <c r="E520" s="11"/>
      <c r="F520" s="11"/>
      <c r="G520" s="11"/>
    </row>
    <row r="521" spans="4:7">
      <c r="D521" s="11"/>
      <c r="E521" s="11"/>
      <c r="F521" s="11"/>
      <c r="G521" s="11"/>
    </row>
    <row r="522" spans="4:7">
      <c r="D522" s="11"/>
      <c r="E522" s="11"/>
      <c r="F522" s="11"/>
      <c r="G522" s="11"/>
    </row>
    <row r="523" spans="4:7">
      <c r="D523" s="11"/>
      <c r="E523" s="11"/>
      <c r="F523" s="11"/>
      <c r="G523" s="11"/>
    </row>
    <row r="524" spans="4:7">
      <c r="D524" s="11"/>
      <c r="E524" s="11"/>
      <c r="F524" s="11"/>
      <c r="G524" s="11"/>
    </row>
    <row r="525" spans="4:7">
      <c r="D525" s="11"/>
      <c r="E525" s="11"/>
      <c r="F525" s="11"/>
      <c r="G525" s="11"/>
    </row>
    <row r="526" spans="4:7">
      <c r="D526" s="11"/>
      <c r="E526" s="11"/>
      <c r="F526" s="11"/>
      <c r="G526" s="11"/>
    </row>
    <row r="527" spans="4:7">
      <c r="D527" s="11"/>
      <c r="E527" s="11"/>
      <c r="F527" s="11"/>
      <c r="G527" s="11"/>
    </row>
    <row r="528" spans="4:7">
      <c r="D528" s="11"/>
      <c r="E528" s="11"/>
      <c r="F528" s="11"/>
      <c r="G528" s="11"/>
    </row>
    <row r="529" spans="4:7">
      <c r="D529" s="11"/>
      <c r="E529" s="11"/>
      <c r="F529" s="11"/>
      <c r="G529" s="11"/>
    </row>
    <row r="530" spans="4:7">
      <c r="D530" s="11"/>
      <c r="E530" s="11"/>
      <c r="F530" s="11"/>
      <c r="G530" s="11"/>
    </row>
    <row r="531" spans="4:7">
      <c r="D531" s="11"/>
      <c r="E531" s="11"/>
      <c r="F531" s="11"/>
      <c r="G531" s="11"/>
    </row>
    <row r="532" spans="4:7">
      <c r="D532" s="11"/>
      <c r="E532" s="11"/>
      <c r="F532" s="11"/>
      <c r="G532" s="11"/>
    </row>
    <row r="533" spans="4:7">
      <c r="D533" s="11"/>
      <c r="E533" s="11"/>
      <c r="F533" s="11"/>
      <c r="G533" s="11"/>
    </row>
    <row r="534" spans="4:7">
      <c r="D534" s="11"/>
      <c r="E534" s="11"/>
      <c r="F534" s="11"/>
      <c r="G534" s="11"/>
    </row>
    <row r="535" spans="4:7">
      <c r="D535" s="11"/>
      <c r="E535" s="11"/>
      <c r="F535" s="11"/>
      <c r="G535" s="11"/>
    </row>
    <row r="536" spans="4:7">
      <c r="D536" s="11"/>
      <c r="E536" s="11"/>
      <c r="F536" s="11"/>
      <c r="G536" s="11"/>
    </row>
    <row r="537" spans="4:7">
      <c r="D537" s="11"/>
      <c r="E537" s="11"/>
      <c r="F537" s="11"/>
      <c r="G537" s="11"/>
    </row>
    <row r="538" spans="4:7">
      <c r="D538" s="11"/>
      <c r="E538" s="11"/>
      <c r="F538" s="11"/>
      <c r="G538" s="11"/>
    </row>
    <row r="539" spans="4:7">
      <c r="D539" s="11"/>
      <c r="E539" s="11"/>
      <c r="F539" s="11"/>
      <c r="G539" s="11"/>
    </row>
    <row r="540" spans="4:7">
      <c r="D540" s="11"/>
      <c r="E540" s="11"/>
      <c r="F540" s="11"/>
      <c r="G540" s="11"/>
    </row>
    <row r="541" spans="4:7">
      <c r="D541" s="11"/>
      <c r="E541" s="11"/>
      <c r="F541" s="11"/>
      <c r="G541" s="11"/>
    </row>
    <row r="542" spans="4:7">
      <c r="D542" s="11"/>
      <c r="E542" s="11"/>
      <c r="F542" s="11"/>
      <c r="G542" s="11"/>
    </row>
    <row r="543" spans="4:7">
      <c r="D543" s="11"/>
      <c r="E543" s="11"/>
      <c r="F543" s="11"/>
      <c r="G543" s="11"/>
    </row>
    <row r="544" spans="4:7">
      <c r="D544" s="11"/>
      <c r="E544" s="11"/>
      <c r="F544" s="11"/>
      <c r="G544" s="11"/>
    </row>
    <row r="545" spans="4:7">
      <c r="D545" s="11"/>
      <c r="E545" s="11"/>
      <c r="F545" s="11"/>
      <c r="G545" s="11"/>
    </row>
    <row r="546" spans="4:7">
      <c r="D546" s="11"/>
      <c r="E546" s="11"/>
      <c r="F546" s="11"/>
      <c r="G546" s="11"/>
    </row>
    <row r="547" spans="4:7">
      <c r="D547" s="11"/>
      <c r="E547" s="11"/>
      <c r="F547" s="11"/>
      <c r="G547" s="11"/>
    </row>
    <row r="548" spans="4:7">
      <c r="D548" s="11"/>
      <c r="E548" s="11"/>
      <c r="F548" s="11"/>
      <c r="G548" s="11"/>
    </row>
    <row r="549" spans="4:7">
      <c r="D549" s="11"/>
      <c r="E549" s="11"/>
      <c r="F549" s="11"/>
      <c r="G549" s="11"/>
    </row>
    <row r="550" spans="4:7">
      <c r="D550" s="11"/>
      <c r="E550" s="11"/>
      <c r="F550" s="11"/>
      <c r="G550" s="11"/>
    </row>
    <row r="551" spans="4:7">
      <c r="D551" s="11"/>
      <c r="E551" s="11"/>
      <c r="F551" s="11"/>
      <c r="G551" s="11"/>
    </row>
    <row r="552" spans="4:7">
      <c r="D552" s="11"/>
      <c r="E552" s="11"/>
      <c r="F552" s="11"/>
      <c r="G552" s="11"/>
    </row>
    <row r="553" spans="4:7">
      <c r="D553" s="11"/>
      <c r="E553" s="11"/>
      <c r="F553" s="11"/>
      <c r="G553" s="11"/>
    </row>
    <row r="554" spans="4:7">
      <c r="D554" s="11"/>
      <c r="E554" s="11"/>
      <c r="F554" s="11"/>
      <c r="G554" s="11"/>
    </row>
    <row r="555" spans="4:7">
      <c r="D555" s="11"/>
      <c r="E555" s="11"/>
      <c r="F555" s="11"/>
      <c r="G555" s="11"/>
    </row>
    <row r="556" spans="4:7">
      <c r="D556" s="11"/>
      <c r="E556" s="11"/>
      <c r="F556" s="11"/>
      <c r="G556" s="11"/>
    </row>
    <row r="557" spans="4:7">
      <c r="D557" s="11"/>
      <c r="E557" s="11"/>
      <c r="F557" s="11"/>
      <c r="G557" s="11"/>
    </row>
    <row r="558" spans="4:7">
      <c r="D558" s="11"/>
      <c r="E558" s="11"/>
      <c r="F558" s="11"/>
      <c r="G558" s="11"/>
    </row>
    <row r="559" spans="4:7">
      <c r="D559" s="11"/>
      <c r="E559" s="11"/>
      <c r="F559" s="11"/>
      <c r="G559" s="11"/>
    </row>
    <row r="560" spans="4:7">
      <c r="D560" s="11"/>
      <c r="E560" s="11"/>
      <c r="F560" s="11"/>
      <c r="G560" s="11"/>
    </row>
    <row r="561" spans="4:7">
      <c r="D561" s="11"/>
      <c r="E561" s="11"/>
      <c r="F561" s="11"/>
      <c r="G561" s="11"/>
    </row>
    <row r="562" spans="4:7">
      <c r="D562" s="11"/>
      <c r="E562" s="11"/>
      <c r="F562" s="11"/>
      <c r="G562" s="11"/>
    </row>
    <row r="563" spans="4:7">
      <c r="D563" s="11"/>
      <c r="E563" s="11"/>
      <c r="F563" s="11"/>
      <c r="G563" s="11"/>
    </row>
    <row r="564" spans="4:7">
      <c r="D564" s="11"/>
      <c r="E564" s="11"/>
      <c r="F564" s="11"/>
      <c r="G564" s="11"/>
    </row>
    <row r="565" spans="4:7">
      <c r="D565" s="11"/>
      <c r="E565" s="11"/>
      <c r="F565" s="11"/>
      <c r="G565" s="11"/>
    </row>
    <row r="566" spans="4:7">
      <c r="D566" s="11"/>
      <c r="E566" s="11"/>
      <c r="F566" s="11"/>
      <c r="G566" s="11"/>
    </row>
    <row r="567" spans="4:7">
      <c r="D567" s="11"/>
      <c r="E567" s="11"/>
      <c r="F567" s="11"/>
      <c r="G567" s="11"/>
    </row>
    <row r="568" spans="4:7">
      <c r="D568" s="11"/>
      <c r="E568" s="11"/>
      <c r="F568" s="11"/>
      <c r="G568" s="11"/>
    </row>
    <row r="569" spans="4:7">
      <c r="D569" s="11"/>
      <c r="E569" s="11"/>
      <c r="F569" s="11"/>
      <c r="G569" s="11"/>
    </row>
    <row r="570" spans="4:7">
      <c r="D570" s="11"/>
      <c r="E570" s="11"/>
      <c r="F570" s="11"/>
      <c r="G570" s="11"/>
    </row>
    <row r="571" spans="4:7">
      <c r="D571" s="11"/>
      <c r="E571" s="11"/>
      <c r="F571" s="11"/>
      <c r="G571" s="11"/>
    </row>
    <row r="572" spans="4:7">
      <c r="D572" s="11"/>
      <c r="E572" s="11"/>
      <c r="F572" s="11"/>
      <c r="G572" s="11"/>
    </row>
    <row r="573" spans="4:7">
      <c r="D573" s="11"/>
      <c r="E573" s="11"/>
      <c r="F573" s="11"/>
      <c r="G573" s="11"/>
    </row>
    <row r="574" spans="4:7">
      <c r="D574" s="11"/>
      <c r="E574" s="11"/>
      <c r="F574" s="11"/>
      <c r="G574" s="11"/>
    </row>
    <row r="575" spans="4:7">
      <c r="D575" s="11"/>
      <c r="E575" s="11"/>
      <c r="F575" s="11"/>
      <c r="G575" s="11"/>
    </row>
    <row r="576" spans="4:7">
      <c r="D576" s="11"/>
      <c r="E576" s="11"/>
      <c r="F576" s="11"/>
      <c r="G576" s="11"/>
    </row>
    <row r="577" spans="4:7">
      <c r="D577" s="11"/>
      <c r="E577" s="11"/>
      <c r="F577" s="11"/>
      <c r="G577" s="11"/>
    </row>
    <row r="578" spans="4:7">
      <c r="D578" s="11"/>
      <c r="E578" s="11"/>
      <c r="F578" s="11"/>
      <c r="G578" s="11"/>
    </row>
    <row r="579" spans="4:7">
      <c r="D579" s="11"/>
      <c r="E579" s="11"/>
      <c r="F579" s="11"/>
      <c r="G579" s="11"/>
    </row>
    <row r="580" spans="4:7">
      <c r="D580" s="11"/>
      <c r="E580" s="11"/>
      <c r="F580" s="11"/>
      <c r="G580" s="11"/>
    </row>
    <row r="581" spans="4:7">
      <c r="D581" s="11"/>
      <c r="E581" s="11"/>
      <c r="F581" s="11"/>
      <c r="G581" s="11"/>
    </row>
    <row r="582" spans="4:7">
      <c r="D582" s="11"/>
      <c r="E582" s="11"/>
      <c r="F582" s="11"/>
      <c r="G582" s="11"/>
    </row>
    <row r="583" spans="4:7">
      <c r="D583" s="11"/>
      <c r="E583" s="11"/>
      <c r="F583" s="11"/>
      <c r="G583" s="11"/>
    </row>
    <row r="584" spans="4:7">
      <c r="D584" s="11"/>
      <c r="E584" s="11"/>
      <c r="F584" s="11"/>
      <c r="G584" s="11"/>
    </row>
    <row r="585" spans="4:7">
      <c r="D585" s="11"/>
      <c r="E585" s="11"/>
      <c r="F585" s="11"/>
      <c r="G585" s="11"/>
    </row>
    <row r="586" spans="4:7">
      <c r="D586" s="11"/>
      <c r="E586" s="11"/>
      <c r="F586" s="11"/>
      <c r="G586" s="11"/>
    </row>
    <row r="587" spans="4:7">
      <c r="D587" s="11"/>
      <c r="E587" s="11"/>
      <c r="F587" s="11"/>
      <c r="G587" s="11"/>
    </row>
    <row r="588" spans="4:7">
      <c r="D588" s="11"/>
      <c r="E588" s="11"/>
      <c r="F588" s="11"/>
      <c r="G588" s="11"/>
    </row>
    <row r="589" spans="4:7">
      <c r="D589" s="11"/>
      <c r="E589" s="11"/>
      <c r="F589" s="11"/>
      <c r="G589" s="11"/>
    </row>
    <row r="590" spans="4:7">
      <c r="D590" s="11"/>
      <c r="E590" s="11"/>
      <c r="F590" s="11"/>
      <c r="G590" s="11"/>
    </row>
    <row r="591" spans="4:7">
      <c r="D591" s="11"/>
      <c r="E591" s="11"/>
      <c r="F591" s="11"/>
      <c r="G591" s="11"/>
    </row>
    <row r="592" spans="4:7">
      <c r="D592" s="11"/>
      <c r="E592" s="11"/>
      <c r="F592" s="11"/>
      <c r="G592" s="11"/>
    </row>
    <row r="593" spans="4:7">
      <c r="D593" s="11"/>
      <c r="E593" s="11"/>
      <c r="F593" s="11"/>
      <c r="G593" s="11"/>
    </row>
    <row r="594" spans="4:7">
      <c r="D594" s="11"/>
      <c r="E594" s="11"/>
      <c r="F594" s="11"/>
      <c r="G594" s="11"/>
    </row>
    <row r="595" spans="4:7">
      <c r="D595" s="11"/>
      <c r="E595" s="11"/>
      <c r="F595" s="11"/>
      <c r="G595" s="11"/>
    </row>
    <row r="596" spans="4:7">
      <c r="D596" s="11"/>
      <c r="E596" s="11"/>
      <c r="F596" s="11"/>
      <c r="G596" s="11"/>
    </row>
    <row r="597" spans="4:7">
      <c r="D597" s="11"/>
      <c r="E597" s="11"/>
      <c r="F597" s="11"/>
      <c r="G597" s="11"/>
    </row>
    <row r="598" spans="4:7">
      <c r="D598" s="11"/>
      <c r="E598" s="11"/>
      <c r="F598" s="11"/>
      <c r="G598" s="11"/>
    </row>
    <row r="599" spans="4:7">
      <c r="D599" s="11"/>
      <c r="E599" s="11"/>
      <c r="F599" s="11"/>
      <c r="G599" s="11"/>
    </row>
    <row r="600" spans="4:7">
      <c r="D600" s="11"/>
      <c r="E600" s="11"/>
      <c r="F600" s="11"/>
      <c r="G600" s="11"/>
    </row>
    <row r="601" spans="4:7">
      <c r="D601" s="11"/>
      <c r="E601" s="11"/>
      <c r="F601" s="11"/>
      <c r="G601" s="11"/>
    </row>
    <row r="602" spans="4:7">
      <c r="D602" s="11"/>
      <c r="E602" s="11"/>
      <c r="F602" s="11"/>
      <c r="G602" s="11"/>
    </row>
    <row r="603" spans="4:7">
      <c r="D603" s="11"/>
      <c r="E603" s="11"/>
      <c r="F603" s="11"/>
      <c r="G603" s="11"/>
    </row>
    <row r="604" spans="4:7">
      <c r="D604" s="11"/>
      <c r="E604" s="11"/>
      <c r="F604" s="11"/>
      <c r="G604" s="11"/>
    </row>
    <row r="605" spans="4:7">
      <c r="D605" s="11"/>
      <c r="E605" s="11"/>
      <c r="F605" s="11"/>
      <c r="G605" s="11"/>
    </row>
    <row r="606" spans="4:7">
      <c r="D606" s="11"/>
      <c r="E606" s="11"/>
      <c r="F606" s="11"/>
      <c r="G606" s="11"/>
    </row>
    <row r="607" spans="4:7">
      <c r="D607" s="11"/>
      <c r="E607" s="11"/>
      <c r="F607" s="11"/>
      <c r="G607" s="11"/>
    </row>
    <row r="608" spans="4:7">
      <c r="D608" s="11"/>
      <c r="E608" s="11"/>
      <c r="F608" s="11"/>
      <c r="G608" s="11"/>
    </row>
    <row r="609" spans="4:7">
      <c r="D609" s="11"/>
      <c r="E609" s="11"/>
      <c r="F609" s="11"/>
      <c r="G609" s="11"/>
    </row>
    <row r="610" spans="4:7">
      <c r="D610" s="11"/>
      <c r="E610" s="11"/>
      <c r="F610" s="11"/>
      <c r="G610" s="11"/>
    </row>
    <row r="611" spans="4:7">
      <c r="D611" s="11"/>
      <c r="E611" s="11"/>
      <c r="F611" s="11"/>
      <c r="G611" s="11"/>
    </row>
    <row r="612" spans="4:7">
      <c r="D612" s="11"/>
      <c r="E612" s="11"/>
      <c r="F612" s="11"/>
      <c r="G612" s="11"/>
    </row>
    <row r="613" spans="4:7">
      <c r="D613" s="11"/>
      <c r="E613" s="11"/>
      <c r="F613" s="11"/>
      <c r="G613" s="11"/>
    </row>
    <row r="614" spans="4:7">
      <c r="D614" s="11"/>
      <c r="E614" s="11"/>
      <c r="F614" s="11"/>
      <c r="G614" s="11"/>
    </row>
    <row r="615" spans="4:7">
      <c r="D615" s="11"/>
      <c r="E615" s="11"/>
      <c r="F615" s="11"/>
      <c r="G615" s="11"/>
    </row>
    <row r="616" spans="4:7">
      <c r="D616" s="11"/>
      <c r="E616" s="11"/>
      <c r="F616" s="11"/>
      <c r="G616" s="11"/>
    </row>
    <row r="617" spans="4:7">
      <c r="D617" s="11"/>
      <c r="E617" s="11"/>
      <c r="F617" s="11"/>
      <c r="G617" s="11"/>
    </row>
    <row r="618" spans="4:7">
      <c r="D618" s="11"/>
      <c r="E618" s="11"/>
      <c r="F618" s="11"/>
      <c r="G618" s="11"/>
    </row>
    <row r="619" spans="4:7">
      <c r="D619" s="11"/>
      <c r="E619" s="11"/>
      <c r="F619" s="11"/>
      <c r="G619" s="11"/>
    </row>
    <row r="620" spans="4:7">
      <c r="D620" s="11"/>
      <c r="E620" s="11"/>
      <c r="F620" s="11"/>
      <c r="G620" s="11"/>
    </row>
    <row r="621" spans="4:7">
      <c r="D621" s="11"/>
      <c r="E621" s="11"/>
      <c r="F621" s="11"/>
      <c r="G621" s="11"/>
    </row>
    <row r="622" spans="4:7">
      <c r="D622" s="11"/>
      <c r="E622" s="11"/>
      <c r="F622" s="11"/>
      <c r="G622" s="11"/>
    </row>
    <row r="623" spans="4:7">
      <c r="D623" s="11"/>
      <c r="E623" s="11"/>
      <c r="F623" s="11"/>
      <c r="G623" s="11"/>
    </row>
    <row r="624" spans="4:7">
      <c r="D624" s="11"/>
      <c r="E624" s="11"/>
      <c r="F624" s="11"/>
      <c r="G624" s="11"/>
    </row>
    <row r="625" spans="4:7">
      <c r="D625" s="11"/>
      <c r="E625" s="11"/>
      <c r="F625" s="11"/>
      <c r="G625" s="11"/>
    </row>
    <row r="626" spans="4:7">
      <c r="D626" s="11"/>
      <c r="E626" s="11"/>
      <c r="F626" s="11"/>
      <c r="G626" s="11"/>
    </row>
    <row r="627" spans="4:7">
      <c r="D627" s="11"/>
      <c r="E627" s="11"/>
      <c r="F627" s="11"/>
      <c r="G627" s="11"/>
    </row>
    <row r="628" spans="4:7">
      <c r="D628" s="11"/>
      <c r="E628" s="11"/>
      <c r="F628" s="11"/>
      <c r="G628" s="11"/>
    </row>
    <row r="629" spans="4:7">
      <c r="D629" s="11"/>
      <c r="E629" s="11"/>
      <c r="F629" s="11"/>
      <c r="G629" s="11"/>
    </row>
    <row r="630" spans="4:7">
      <c r="D630" s="11"/>
      <c r="E630" s="11"/>
      <c r="F630" s="11"/>
      <c r="G630" s="11"/>
    </row>
    <row r="631" spans="4:7">
      <c r="D631" s="11"/>
      <c r="E631" s="11"/>
      <c r="F631" s="11"/>
      <c r="G631" s="11"/>
    </row>
    <row r="632" spans="4:7">
      <c r="D632" s="11"/>
      <c r="E632" s="11"/>
      <c r="F632" s="11"/>
      <c r="G632" s="11"/>
    </row>
    <row r="633" spans="4:7">
      <c r="D633" s="11"/>
      <c r="E633" s="11"/>
      <c r="F633" s="11"/>
      <c r="G633" s="11"/>
    </row>
    <row r="634" spans="4:7">
      <c r="D634" s="11"/>
      <c r="E634" s="11"/>
      <c r="F634" s="11"/>
      <c r="G634" s="11"/>
    </row>
    <row r="635" spans="4:7">
      <c r="D635" s="11"/>
      <c r="E635" s="11"/>
      <c r="F635" s="11"/>
      <c r="G635" s="11"/>
    </row>
    <row r="636" spans="4:7">
      <c r="D636" s="11"/>
      <c r="E636" s="11"/>
      <c r="F636" s="11"/>
      <c r="G636" s="11"/>
    </row>
    <row r="637" spans="4:7">
      <c r="D637" s="11"/>
      <c r="E637" s="11"/>
      <c r="F637" s="11"/>
      <c r="G637" s="11"/>
    </row>
    <row r="638" spans="4:7">
      <c r="D638" s="11"/>
      <c r="E638" s="11"/>
      <c r="F638" s="11"/>
      <c r="G638" s="11"/>
    </row>
    <row r="639" spans="4:7">
      <c r="D639" s="11"/>
      <c r="E639" s="11"/>
      <c r="F639" s="11"/>
      <c r="G639" s="11"/>
    </row>
    <row r="640" spans="4:7">
      <c r="D640" s="11"/>
      <c r="E640" s="11"/>
      <c r="F640" s="11"/>
      <c r="G640" s="11"/>
    </row>
    <row r="641" spans="4:7">
      <c r="D641" s="11"/>
      <c r="E641" s="11"/>
      <c r="F641" s="11"/>
      <c r="G641" s="11"/>
    </row>
    <row r="642" spans="4:7">
      <c r="D642" s="11"/>
      <c r="E642" s="11"/>
      <c r="F642" s="11"/>
      <c r="G642" s="11"/>
    </row>
    <row r="643" spans="4:7">
      <c r="D643" s="11"/>
      <c r="E643" s="11"/>
      <c r="F643" s="11"/>
      <c r="G643" s="11"/>
    </row>
    <row r="644" spans="4:7">
      <c r="D644" s="11"/>
      <c r="E644" s="11"/>
      <c r="F644" s="11"/>
      <c r="G644" s="11"/>
    </row>
    <row r="645" spans="4:7">
      <c r="D645" s="11"/>
      <c r="E645" s="11"/>
      <c r="F645" s="11"/>
      <c r="G645" s="11"/>
    </row>
    <row r="646" spans="4:7">
      <c r="D646" s="11"/>
      <c r="E646" s="11"/>
      <c r="F646" s="11"/>
      <c r="G646" s="11"/>
    </row>
    <row r="647" spans="4:7">
      <c r="D647" s="11"/>
      <c r="E647" s="11"/>
      <c r="F647" s="11"/>
      <c r="G647" s="11"/>
    </row>
    <row r="648" spans="4:7">
      <c r="D648" s="11"/>
      <c r="E648" s="11"/>
      <c r="F648" s="11"/>
      <c r="G648" s="11"/>
    </row>
    <row r="649" spans="4:7">
      <c r="D649" s="11"/>
      <c r="E649" s="11"/>
      <c r="F649" s="11"/>
      <c r="G649" s="11"/>
    </row>
    <row r="650" spans="4:7">
      <c r="D650" s="11"/>
      <c r="E650" s="11"/>
      <c r="F650" s="11"/>
      <c r="G650" s="11"/>
    </row>
    <row r="651" spans="4:7">
      <c r="D651" s="11"/>
      <c r="E651" s="11"/>
      <c r="F651" s="11"/>
      <c r="G651" s="11"/>
    </row>
    <row r="652" spans="4:7">
      <c r="D652" s="11"/>
      <c r="E652" s="11"/>
      <c r="F652" s="11"/>
      <c r="G652" s="11"/>
    </row>
    <row r="653" spans="4:7">
      <c r="D653" s="11"/>
      <c r="E653" s="11"/>
      <c r="F653" s="11"/>
      <c r="G653" s="11"/>
    </row>
    <row r="654" spans="4:7">
      <c r="D654" s="11"/>
      <c r="E654" s="11"/>
      <c r="F654" s="11"/>
      <c r="G654" s="11"/>
    </row>
    <row r="655" spans="4:7">
      <c r="D655" s="11"/>
      <c r="E655" s="11"/>
      <c r="F655" s="11"/>
      <c r="G655" s="11"/>
    </row>
    <row r="656" spans="4:7">
      <c r="D656" s="11"/>
      <c r="E656" s="11"/>
      <c r="F656" s="11"/>
      <c r="G656" s="11"/>
    </row>
    <row r="657" spans="4:7">
      <c r="D657" s="11"/>
      <c r="E657" s="11"/>
      <c r="F657" s="11"/>
      <c r="G657" s="11"/>
    </row>
    <row r="658" spans="4:7">
      <c r="D658" s="11"/>
      <c r="E658" s="11"/>
      <c r="F658" s="11"/>
      <c r="G658" s="11"/>
    </row>
    <row r="659" spans="4:7">
      <c r="D659" s="11"/>
      <c r="E659" s="11"/>
      <c r="F659" s="11"/>
      <c r="G659" s="11"/>
    </row>
    <row r="660" spans="4:7">
      <c r="D660" s="11"/>
      <c r="E660" s="11"/>
      <c r="F660" s="11"/>
      <c r="G660" s="11"/>
    </row>
    <row r="661" spans="4:7">
      <c r="D661" s="11"/>
      <c r="E661" s="11"/>
      <c r="F661" s="11"/>
      <c r="G661" s="11"/>
    </row>
    <row r="662" spans="4:7">
      <c r="D662" s="11"/>
      <c r="E662" s="11"/>
      <c r="F662" s="11"/>
      <c r="G662" s="11"/>
    </row>
    <row r="663" spans="4:7">
      <c r="D663" s="11"/>
      <c r="E663" s="11"/>
      <c r="F663" s="11"/>
      <c r="G663" s="11"/>
    </row>
    <row r="664" spans="4:7">
      <c r="D664" s="11"/>
      <c r="E664" s="11"/>
      <c r="F664" s="11"/>
      <c r="G664" s="11"/>
    </row>
    <row r="665" spans="4:7">
      <c r="D665" s="11"/>
      <c r="E665" s="11"/>
      <c r="F665" s="11"/>
      <c r="G665" s="11"/>
    </row>
    <row r="666" spans="4:7">
      <c r="D666" s="11"/>
      <c r="E666" s="11"/>
      <c r="F666" s="11"/>
      <c r="G666" s="11"/>
    </row>
    <row r="667" spans="4:7">
      <c r="D667" s="11"/>
      <c r="E667" s="11"/>
      <c r="F667" s="11"/>
      <c r="G667" s="11"/>
    </row>
    <row r="668" spans="4:7">
      <c r="D668" s="11"/>
      <c r="E668" s="11"/>
      <c r="F668" s="11"/>
      <c r="G668" s="11"/>
    </row>
    <row r="669" spans="4:7">
      <c r="D669" s="11"/>
      <c r="E669" s="11"/>
      <c r="F669" s="11"/>
      <c r="G669" s="11"/>
    </row>
    <row r="670" spans="4:7">
      <c r="D670" s="11"/>
      <c r="E670" s="11"/>
      <c r="F670" s="11"/>
      <c r="G670" s="11"/>
    </row>
    <row r="671" spans="4:7">
      <c r="D671" s="11"/>
      <c r="E671" s="11"/>
      <c r="F671" s="11"/>
      <c r="G671" s="11"/>
    </row>
    <row r="672" spans="4:7">
      <c r="D672" s="11"/>
      <c r="E672" s="11"/>
      <c r="F672" s="11"/>
      <c r="G672" s="11"/>
    </row>
    <row r="673" spans="4:7">
      <c r="D673" s="11"/>
      <c r="E673" s="11"/>
      <c r="F673" s="11"/>
      <c r="G673" s="11"/>
    </row>
    <row r="674" spans="4:7">
      <c r="D674" s="11"/>
      <c r="E674" s="11"/>
      <c r="F674" s="11"/>
      <c r="G674" s="11"/>
    </row>
    <row r="675" spans="4:7">
      <c r="D675" s="11"/>
      <c r="E675" s="11"/>
      <c r="F675" s="11"/>
      <c r="G675" s="11"/>
    </row>
    <row r="676" spans="4:7">
      <c r="D676" s="11"/>
      <c r="E676" s="11"/>
      <c r="F676" s="11"/>
      <c r="G676" s="11"/>
    </row>
    <row r="677" spans="4:7">
      <c r="D677" s="11"/>
      <c r="E677" s="11"/>
      <c r="F677" s="11"/>
      <c r="G677" s="11"/>
    </row>
    <row r="678" spans="4:7">
      <c r="D678" s="11"/>
      <c r="E678" s="11"/>
      <c r="F678" s="11"/>
      <c r="G678" s="11"/>
    </row>
    <row r="679" spans="4:7">
      <c r="D679" s="11"/>
      <c r="E679" s="11"/>
      <c r="F679" s="11"/>
      <c r="G679" s="11"/>
    </row>
    <row r="680" spans="4:7">
      <c r="D680" s="11"/>
      <c r="E680" s="11"/>
      <c r="F680" s="11"/>
      <c r="G680" s="11"/>
    </row>
    <row r="681" spans="4:7">
      <c r="D681" s="11"/>
      <c r="E681" s="11"/>
      <c r="F681" s="11"/>
      <c r="G681" s="11"/>
    </row>
    <row r="682" spans="4:7">
      <c r="D682" s="11"/>
      <c r="E682" s="11"/>
      <c r="F682" s="11"/>
      <c r="G682" s="11"/>
    </row>
    <row r="683" spans="4:7">
      <c r="D683" s="11"/>
      <c r="E683" s="11"/>
      <c r="F683" s="11"/>
      <c r="G683" s="11"/>
    </row>
    <row r="684" spans="4:7">
      <c r="D684" s="11"/>
      <c r="E684" s="11"/>
      <c r="F684" s="11"/>
      <c r="G684" s="11"/>
    </row>
    <row r="685" spans="4:7">
      <c r="D685" s="11"/>
      <c r="E685" s="11"/>
      <c r="F685" s="11"/>
      <c r="G685" s="11"/>
    </row>
    <row r="686" spans="4:7">
      <c r="D686" s="11"/>
      <c r="E686" s="11"/>
      <c r="F686" s="11"/>
      <c r="G686" s="11"/>
    </row>
    <row r="687" spans="4:7">
      <c r="D687" s="11"/>
      <c r="E687" s="11"/>
      <c r="F687" s="11"/>
      <c r="G687" s="11"/>
    </row>
    <row r="688" spans="4:7">
      <c r="D688" s="11"/>
      <c r="E688" s="11"/>
      <c r="F688" s="11"/>
      <c r="G688" s="11"/>
    </row>
    <row r="689" spans="4:7">
      <c r="D689" s="11"/>
      <c r="E689" s="11"/>
      <c r="F689" s="11"/>
      <c r="G689" s="11"/>
    </row>
    <row r="690" spans="4:7">
      <c r="D690" s="11"/>
      <c r="E690" s="11"/>
      <c r="F690" s="11"/>
      <c r="G690" s="11"/>
    </row>
    <row r="691" spans="4:7">
      <c r="D691" s="11"/>
      <c r="E691" s="11"/>
      <c r="F691" s="11"/>
      <c r="G691" s="11"/>
    </row>
    <row r="692" spans="4:7">
      <c r="D692" s="11"/>
      <c r="E692" s="11"/>
      <c r="F692" s="11"/>
      <c r="G692" s="11"/>
    </row>
    <row r="693" spans="4:7">
      <c r="D693" s="11"/>
      <c r="E693" s="11"/>
      <c r="F693" s="11"/>
      <c r="G693" s="11"/>
    </row>
    <row r="694" spans="4:7">
      <c r="D694" s="11"/>
      <c r="E694" s="11"/>
      <c r="F694" s="11"/>
      <c r="G694" s="11"/>
    </row>
    <row r="695" spans="4:7">
      <c r="D695" s="11"/>
      <c r="E695" s="11"/>
      <c r="F695" s="11"/>
      <c r="G695" s="11"/>
    </row>
    <row r="696" spans="4:7">
      <c r="D696" s="11"/>
      <c r="E696" s="11"/>
      <c r="F696" s="11"/>
      <c r="G696" s="11"/>
    </row>
    <row r="697" spans="4:7">
      <c r="D697" s="11"/>
      <c r="E697" s="11"/>
      <c r="F697" s="11"/>
      <c r="G697" s="11"/>
    </row>
    <row r="698" spans="4:7">
      <c r="D698" s="11"/>
      <c r="E698" s="11"/>
      <c r="F698" s="11"/>
      <c r="G698" s="11"/>
    </row>
    <row r="699" spans="4:7">
      <c r="D699" s="11"/>
      <c r="E699" s="11"/>
      <c r="F699" s="11"/>
      <c r="G699" s="11"/>
    </row>
    <row r="700" spans="4:7">
      <c r="D700" s="11"/>
      <c r="E700" s="11"/>
      <c r="F700" s="11"/>
      <c r="G700" s="11"/>
    </row>
    <row r="701" spans="4:7">
      <c r="D701" s="11"/>
      <c r="E701" s="11"/>
      <c r="F701" s="11"/>
      <c r="G701" s="11"/>
    </row>
    <row r="702" spans="4:7">
      <c r="D702" s="11"/>
      <c r="E702" s="11"/>
      <c r="F702" s="11"/>
      <c r="G702" s="11"/>
    </row>
    <row r="703" spans="4:7">
      <c r="D703" s="11"/>
      <c r="E703" s="11"/>
      <c r="F703" s="11"/>
      <c r="G703" s="11"/>
    </row>
    <row r="704" spans="4:7">
      <c r="D704" s="11"/>
      <c r="E704" s="11"/>
      <c r="F704" s="11"/>
      <c r="G704" s="11"/>
    </row>
    <row r="705" spans="4:7">
      <c r="D705" s="11"/>
      <c r="E705" s="11"/>
      <c r="F705" s="11"/>
      <c r="G705" s="11"/>
    </row>
    <row r="706" spans="4:7">
      <c r="D706" s="11"/>
      <c r="E706" s="11"/>
      <c r="F706" s="11"/>
      <c r="G706" s="11"/>
    </row>
    <row r="707" spans="4:7">
      <c r="D707" s="11"/>
      <c r="E707" s="11"/>
      <c r="F707" s="11"/>
      <c r="G707" s="11"/>
    </row>
    <row r="708" spans="4:7">
      <c r="D708" s="11"/>
      <c r="E708" s="11"/>
      <c r="F708" s="11"/>
      <c r="G708" s="11"/>
    </row>
    <row r="709" spans="4:7">
      <c r="D709" s="11"/>
      <c r="E709" s="11"/>
      <c r="F709" s="11"/>
      <c r="G709" s="11"/>
    </row>
    <row r="710" spans="4:7">
      <c r="D710" s="11"/>
      <c r="E710" s="11"/>
      <c r="F710" s="11"/>
      <c r="G710" s="11"/>
    </row>
    <row r="711" spans="4:7">
      <c r="D711" s="11"/>
      <c r="E711" s="11"/>
      <c r="F711" s="11"/>
      <c r="G711" s="11"/>
    </row>
    <row r="712" spans="4:7">
      <c r="D712" s="11"/>
      <c r="E712" s="11"/>
      <c r="F712" s="11"/>
      <c r="G712" s="11"/>
    </row>
    <row r="713" spans="4:7">
      <c r="D713" s="11"/>
      <c r="E713" s="11"/>
      <c r="F713" s="11"/>
      <c r="G713" s="11"/>
    </row>
    <row r="714" spans="4:7">
      <c r="D714" s="11"/>
      <c r="E714" s="11"/>
      <c r="F714" s="11"/>
      <c r="G714" s="11"/>
    </row>
    <row r="715" spans="4:7">
      <c r="D715" s="11"/>
      <c r="E715" s="11"/>
      <c r="F715" s="11"/>
      <c r="G715" s="11"/>
    </row>
    <row r="716" spans="4:7">
      <c r="D716" s="11"/>
      <c r="E716" s="11"/>
      <c r="F716" s="11"/>
      <c r="G716" s="11"/>
    </row>
    <row r="717" spans="4:7">
      <c r="D717" s="11"/>
      <c r="E717" s="11"/>
      <c r="F717" s="11"/>
      <c r="G717" s="11"/>
    </row>
    <row r="718" spans="4:7">
      <c r="D718" s="11"/>
      <c r="E718" s="11"/>
      <c r="F718" s="11"/>
      <c r="G718" s="11"/>
    </row>
    <row r="719" spans="4:7">
      <c r="D719" s="11"/>
      <c r="E719" s="11"/>
      <c r="F719" s="11"/>
      <c r="G719" s="11"/>
    </row>
    <row r="720" spans="4:7">
      <c r="D720" s="11"/>
      <c r="E720" s="11"/>
      <c r="F720" s="11"/>
      <c r="G720" s="11"/>
    </row>
    <row r="721" spans="4:7">
      <c r="D721" s="11"/>
      <c r="E721" s="11"/>
      <c r="F721" s="11"/>
      <c r="G721" s="11"/>
    </row>
    <row r="722" spans="4:7">
      <c r="D722" s="11"/>
      <c r="E722" s="11"/>
      <c r="F722" s="11"/>
      <c r="G722" s="11"/>
    </row>
    <row r="723" spans="4:7">
      <c r="D723" s="11"/>
      <c r="E723" s="11"/>
      <c r="F723" s="11"/>
      <c r="G723" s="11"/>
    </row>
    <row r="724" spans="4:7">
      <c r="D724" s="11"/>
      <c r="E724" s="11"/>
      <c r="F724" s="11"/>
      <c r="G724" s="11"/>
    </row>
    <row r="725" spans="4:7">
      <c r="D725" s="11"/>
      <c r="E725" s="11"/>
      <c r="F725" s="11"/>
      <c r="G725" s="11"/>
    </row>
    <row r="726" spans="4:7">
      <c r="D726" s="11"/>
      <c r="E726" s="11"/>
      <c r="F726" s="11"/>
      <c r="G726" s="11"/>
    </row>
    <row r="727" spans="4:7">
      <c r="D727" s="11"/>
      <c r="E727" s="11"/>
      <c r="F727" s="11"/>
      <c r="G727" s="11"/>
    </row>
    <row r="728" spans="4:7">
      <c r="D728" s="11"/>
      <c r="E728" s="11"/>
      <c r="F728" s="11"/>
      <c r="G728" s="11"/>
    </row>
    <row r="729" spans="4:7">
      <c r="D729" s="11"/>
      <c r="E729" s="11"/>
      <c r="F729" s="11"/>
      <c r="G729" s="11"/>
    </row>
    <row r="730" spans="4:7">
      <c r="D730" s="11"/>
      <c r="E730" s="11"/>
      <c r="F730" s="11"/>
      <c r="G730" s="11"/>
    </row>
    <row r="731" spans="4:7">
      <c r="D731" s="11"/>
      <c r="E731" s="11"/>
      <c r="F731" s="11"/>
      <c r="G731" s="11"/>
    </row>
    <row r="732" spans="4:7">
      <c r="D732" s="11"/>
      <c r="E732" s="11"/>
      <c r="F732" s="11"/>
      <c r="G732" s="11"/>
    </row>
    <row r="733" spans="4:7">
      <c r="D733" s="11"/>
      <c r="E733" s="11"/>
      <c r="F733" s="11"/>
      <c r="G733" s="11"/>
    </row>
    <row r="734" spans="4:7">
      <c r="D734" s="11"/>
      <c r="E734" s="11"/>
      <c r="F734" s="11"/>
      <c r="G734" s="11"/>
    </row>
    <row r="735" spans="4:7">
      <c r="D735" s="11"/>
      <c r="E735" s="11"/>
      <c r="F735" s="11"/>
      <c r="G735" s="11"/>
    </row>
    <row r="736" spans="4:7">
      <c r="D736" s="11"/>
      <c r="E736" s="11"/>
      <c r="F736" s="11"/>
      <c r="G736" s="11"/>
    </row>
    <row r="737" spans="4:7">
      <c r="D737" s="11"/>
      <c r="E737" s="11"/>
      <c r="F737" s="11"/>
      <c r="G737" s="11"/>
    </row>
    <row r="738" spans="4:7">
      <c r="D738" s="11"/>
      <c r="E738" s="11"/>
      <c r="F738" s="11"/>
      <c r="G738" s="11"/>
    </row>
    <row r="739" spans="4:7">
      <c r="D739" s="11"/>
      <c r="E739" s="11"/>
      <c r="F739" s="11"/>
      <c r="G739" s="11"/>
    </row>
    <row r="740" spans="4:7">
      <c r="D740" s="11"/>
      <c r="E740" s="11"/>
      <c r="F740" s="11"/>
      <c r="G740" s="11"/>
    </row>
    <row r="741" spans="4:7">
      <c r="D741" s="11"/>
      <c r="E741" s="11"/>
      <c r="F741" s="11"/>
      <c r="G741" s="11"/>
    </row>
    <row r="742" spans="4:7">
      <c r="D742" s="11"/>
      <c r="E742" s="11"/>
      <c r="F742" s="11"/>
      <c r="G742" s="11"/>
    </row>
    <row r="743" spans="4:7">
      <c r="D743" s="11"/>
      <c r="E743" s="11"/>
      <c r="F743" s="11"/>
      <c r="G743" s="11"/>
    </row>
    <row r="744" spans="4:7">
      <c r="D744" s="11"/>
      <c r="E744" s="11"/>
      <c r="F744" s="11"/>
      <c r="G744" s="11"/>
    </row>
    <row r="745" spans="4:7">
      <c r="D745" s="11"/>
      <c r="E745" s="11"/>
      <c r="F745" s="11"/>
      <c r="G745" s="11"/>
    </row>
    <row r="746" spans="4:7">
      <c r="D746" s="11"/>
      <c r="E746" s="11"/>
      <c r="F746" s="11"/>
      <c r="G746" s="11"/>
    </row>
    <row r="747" spans="4:7">
      <c r="D747" s="11"/>
      <c r="E747" s="11"/>
      <c r="F747" s="11"/>
      <c r="G747" s="11"/>
    </row>
    <row r="748" spans="4:7">
      <c r="D748" s="11"/>
      <c r="E748" s="11"/>
      <c r="F748" s="11"/>
      <c r="G748" s="11"/>
    </row>
    <row r="749" spans="4:7">
      <c r="D749" s="11"/>
      <c r="E749" s="11"/>
      <c r="F749" s="11"/>
      <c r="G749" s="11"/>
    </row>
    <row r="750" spans="4:7">
      <c r="D750" s="11"/>
      <c r="E750" s="11"/>
      <c r="F750" s="11"/>
      <c r="G750" s="11"/>
    </row>
    <row r="751" spans="4:7">
      <c r="D751" s="11"/>
      <c r="E751" s="11"/>
      <c r="F751" s="11"/>
      <c r="G751" s="11"/>
    </row>
    <row r="752" spans="4:7">
      <c r="D752" s="11"/>
      <c r="E752" s="11"/>
      <c r="F752" s="11"/>
      <c r="G752" s="11"/>
    </row>
    <row r="753" spans="4:7">
      <c r="D753" s="11"/>
      <c r="E753" s="11"/>
      <c r="F753" s="11"/>
      <c r="G753" s="11"/>
    </row>
    <row r="754" spans="4:7">
      <c r="D754" s="11"/>
      <c r="E754" s="11"/>
      <c r="F754" s="11"/>
      <c r="G754" s="11"/>
    </row>
    <row r="755" spans="4:7">
      <c r="D755" s="11"/>
      <c r="E755" s="11"/>
      <c r="F755" s="11"/>
      <c r="G755" s="11"/>
    </row>
    <row r="756" spans="4:7">
      <c r="D756" s="11"/>
      <c r="E756" s="11"/>
      <c r="F756" s="11"/>
      <c r="G756" s="11"/>
    </row>
    <row r="757" spans="4:7">
      <c r="D757" s="11"/>
      <c r="E757" s="11"/>
      <c r="F757" s="11"/>
      <c r="G757" s="11"/>
    </row>
    <row r="758" spans="4:7">
      <c r="D758" s="11"/>
      <c r="E758" s="11"/>
      <c r="F758" s="11"/>
      <c r="G758" s="11"/>
    </row>
    <row r="759" spans="4:7">
      <c r="D759" s="11"/>
      <c r="E759" s="11"/>
      <c r="F759" s="11"/>
      <c r="G759" s="11"/>
    </row>
    <row r="760" spans="4:7">
      <c r="D760" s="11"/>
      <c r="E760" s="11"/>
      <c r="F760" s="11"/>
      <c r="G760" s="11"/>
    </row>
    <row r="761" spans="4:7">
      <c r="D761" s="11"/>
      <c r="E761" s="11"/>
      <c r="F761" s="11"/>
      <c r="G761" s="11"/>
    </row>
    <row r="762" spans="4:7">
      <c r="D762" s="11"/>
      <c r="E762" s="11"/>
      <c r="F762" s="11"/>
      <c r="G762" s="11"/>
    </row>
    <row r="763" spans="4:7">
      <c r="D763" s="11"/>
      <c r="E763" s="11"/>
      <c r="F763" s="11"/>
      <c r="G763" s="11"/>
    </row>
    <row r="764" spans="4:7">
      <c r="D764" s="11"/>
      <c r="E764" s="11"/>
      <c r="F764" s="11"/>
      <c r="G764" s="11"/>
    </row>
    <row r="765" spans="4:7">
      <c r="D765" s="11"/>
      <c r="E765" s="11"/>
      <c r="F765" s="11"/>
      <c r="G765" s="11"/>
    </row>
    <row r="766" spans="4:7">
      <c r="D766" s="11"/>
      <c r="E766" s="11"/>
      <c r="F766" s="11"/>
      <c r="G766" s="11"/>
    </row>
    <row r="767" spans="4:7">
      <c r="D767" s="11"/>
      <c r="E767" s="11"/>
      <c r="F767" s="11"/>
      <c r="G767" s="11"/>
    </row>
    <row r="768" spans="4:7">
      <c r="D768" s="11"/>
      <c r="E768" s="11"/>
      <c r="F768" s="11"/>
      <c r="G768" s="11"/>
    </row>
    <row r="769" spans="4:7">
      <c r="D769" s="11"/>
      <c r="E769" s="11"/>
      <c r="F769" s="11"/>
      <c r="G769" s="11"/>
    </row>
    <row r="770" spans="4:7">
      <c r="D770" s="11"/>
      <c r="E770" s="11"/>
      <c r="F770" s="11"/>
      <c r="G770" s="11"/>
    </row>
    <row r="771" spans="4:7">
      <c r="D771" s="11"/>
      <c r="E771" s="11"/>
      <c r="F771" s="11"/>
      <c r="G771" s="11"/>
    </row>
    <row r="772" spans="4:7">
      <c r="D772" s="11"/>
      <c r="E772" s="11"/>
      <c r="F772" s="11"/>
      <c r="G772" s="11"/>
    </row>
    <row r="773" spans="4:7">
      <c r="D773" s="11"/>
      <c r="E773" s="11"/>
      <c r="F773" s="11"/>
      <c r="G773" s="11"/>
    </row>
    <row r="774" spans="4:7">
      <c r="D774" s="11"/>
      <c r="E774" s="11"/>
      <c r="F774" s="11"/>
      <c r="G774" s="11"/>
    </row>
    <row r="775" spans="4:7">
      <c r="D775" s="11"/>
      <c r="E775" s="11"/>
      <c r="F775" s="11"/>
      <c r="G775" s="11"/>
    </row>
    <row r="776" spans="4:7">
      <c r="D776" s="11"/>
      <c r="E776" s="11"/>
      <c r="F776" s="11"/>
      <c r="G776" s="11"/>
    </row>
    <row r="777" spans="4:7">
      <c r="D777" s="11"/>
      <c r="E777" s="11"/>
      <c r="F777" s="11"/>
      <c r="G777" s="11"/>
    </row>
    <row r="778" spans="4:7">
      <c r="D778" s="11"/>
      <c r="E778" s="11"/>
      <c r="F778" s="11"/>
      <c r="G778" s="11"/>
    </row>
    <row r="779" spans="4:7">
      <c r="D779" s="11"/>
      <c r="E779" s="11"/>
      <c r="F779" s="11"/>
      <c r="G779" s="11"/>
    </row>
    <row r="780" spans="4:7">
      <c r="D780" s="11"/>
      <c r="E780" s="11"/>
      <c r="F780" s="11"/>
      <c r="G780" s="11"/>
    </row>
    <row r="781" spans="4:7">
      <c r="D781" s="11"/>
      <c r="E781" s="11"/>
      <c r="F781" s="11"/>
      <c r="G781" s="11"/>
    </row>
    <row r="782" spans="4:7">
      <c r="D782" s="11"/>
      <c r="E782" s="11"/>
      <c r="F782" s="11"/>
      <c r="G782" s="11"/>
    </row>
    <row r="783" spans="4:7">
      <c r="D783" s="11"/>
      <c r="E783" s="11"/>
      <c r="F783" s="11"/>
      <c r="G783" s="11"/>
    </row>
    <row r="784" spans="4:7">
      <c r="D784" s="11"/>
      <c r="E784" s="11"/>
      <c r="F784" s="11"/>
      <c r="G784" s="11"/>
    </row>
    <row r="785" spans="4:7">
      <c r="D785" s="11"/>
      <c r="E785" s="11"/>
      <c r="F785" s="11"/>
      <c r="G785" s="11"/>
    </row>
    <row r="786" spans="4:7">
      <c r="D786" s="11"/>
      <c r="E786" s="11"/>
      <c r="F786" s="11"/>
      <c r="G786" s="11"/>
    </row>
    <row r="787" spans="4:7">
      <c r="D787" s="11"/>
      <c r="E787" s="11"/>
      <c r="F787" s="11"/>
      <c r="G787" s="11"/>
    </row>
    <row r="788" spans="4:7">
      <c r="D788" s="11"/>
      <c r="E788" s="11"/>
      <c r="F788" s="11"/>
      <c r="G788" s="11"/>
    </row>
    <row r="789" spans="4:7">
      <c r="D789" s="11"/>
      <c r="E789" s="11"/>
      <c r="F789" s="11"/>
      <c r="G789" s="11"/>
    </row>
    <row r="790" spans="4:7">
      <c r="D790" s="11"/>
      <c r="E790" s="11"/>
      <c r="F790" s="11"/>
      <c r="G790" s="11"/>
    </row>
    <row r="791" spans="4:7">
      <c r="D791" s="11"/>
      <c r="E791" s="11"/>
      <c r="F791" s="11"/>
      <c r="G791" s="11"/>
    </row>
    <row r="792" spans="4:7">
      <c r="D792" s="11"/>
      <c r="E792" s="11"/>
      <c r="F792" s="11"/>
      <c r="G792" s="11"/>
    </row>
    <row r="793" spans="4:7">
      <c r="D793" s="11"/>
      <c r="E793" s="11"/>
      <c r="F793" s="11"/>
      <c r="G793" s="11"/>
    </row>
    <row r="794" spans="4:7">
      <c r="D794" s="11"/>
      <c r="E794" s="11"/>
      <c r="F794" s="11"/>
      <c r="G794" s="11"/>
    </row>
    <row r="795" spans="4:7">
      <c r="D795" s="11"/>
      <c r="E795" s="11"/>
      <c r="F795" s="11"/>
      <c r="G795" s="11"/>
    </row>
    <row r="796" spans="4:7">
      <c r="D796" s="11"/>
      <c r="E796" s="11"/>
      <c r="F796" s="11"/>
      <c r="G796" s="11"/>
    </row>
    <row r="797" spans="4:7">
      <c r="D797" s="11"/>
      <c r="E797" s="11"/>
      <c r="F797" s="11"/>
      <c r="G797" s="11"/>
    </row>
    <row r="798" spans="4:7">
      <c r="D798" s="11"/>
      <c r="E798" s="11"/>
      <c r="F798" s="11"/>
      <c r="G798" s="11"/>
    </row>
    <row r="799" spans="4:7">
      <c r="D799" s="11"/>
      <c r="E799" s="11"/>
      <c r="F799" s="11"/>
      <c r="G799" s="11"/>
    </row>
    <row r="800" spans="4:7">
      <c r="D800" s="11"/>
      <c r="E800" s="11"/>
      <c r="F800" s="11"/>
      <c r="G800" s="11"/>
    </row>
    <row r="801" spans="4:7">
      <c r="D801" s="11"/>
      <c r="E801" s="11"/>
      <c r="F801" s="11"/>
      <c r="G801" s="11"/>
    </row>
    <row r="802" spans="4:7">
      <c r="D802" s="11"/>
      <c r="E802" s="11"/>
      <c r="F802" s="11"/>
      <c r="G802" s="11"/>
    </row>
    <row r="803" spans="4:7">
      <c r="D803" s="11"/>
      <c r="E803" s="11"/>
      <c r="F803" s="11"/>
      <c r="G803" s="11"/>
    </row>
    <row r="804" spans="4:7">
      <c r="D804" s="11"/>
      <c r="E804" s="11"/>
      <c r="F804" s="11"/>
      <c r="G804" s="11"/>
    </row>
    <row r="805" spans="4:7">
      <c r="D805" s="11"/>
      <c r="E805" s="11"/>
      <c r="F805" s="11"/>
      <c r="G805" s="11"/>
    </row>
    <row r="806" spans="4:7">
      <c r="D806" s="11"/>
      <c r="E806" s="11"/>
      <c r="F806" s="11"/>
      <c r="G806" s="11"/>
    </row>
    <row r="807" spans="4:7">
      <c r="D807" s="11"/>
      <c r="E807" s="11"/>
      <c r="F807" s="11"/>
      <c r="G807" s="11"/>
    </row>
    <row r="808" spans="4:7">
      <c r="D808" s="11"/>
      <c r="E808" s="11"/>
      <c r="F808" s="11"/>
      <c r="G808" s="11"/>
    </row>
    <row r="809" spans="4:7">
      <c r="D809" s="11"/>
      <c r="E809" s="11"/>
      <c r="F809" s="11"/>
      <c r="G809" s="11"/>
    </row>
    <row r="810" spans="4:7">
      <c r="D810" s="11"/>
      <c r="E810" s="11"/>
      <c r="F810" s="11"/>
      <c r="G810" s="11"/>
    </row>
    <row r="811" spans="4:7">
      <c r="D811" s="11"/>
      <c r="E811" s="11"/>
      <c r="F811" s="11"/>
      <c r="G811" s="11"/>
    </row>
    <row r="812" spans="4:7">
      <c r="D812" s="11"/>
      <c r="E812" s="11"/>
      <c r="F812" s="11"/>
      <c r="G812" s="11"/>
    </row>
    <row r="813" spans="4:7">
      <c r="D813" s="11"/>
      <c r="E813" s="11"/>
      <c r="F813" s="11"/>
      <c r="G813" s="11"/>
    </row>
    <row r="814" spans="4:7">
      <c r="D814" s="11"/>
      <c r="E814" s="11"/>
      <c r="F814" s="11"/>
      <c r="G814" s="11"/>
    </row>
    <row r="815" spans="4:7">
      <c r="D815" s="11"/>
      <c r="E815" s="11"/>
      <c r="F815" s="11"/>
      <c r="G815" s="11"/>
    </row>
    <row r="816" spans="4:7">
      <c r="D816" s="11"/>
      <c r="E816" s="11"/>
      <c r="F816" s="11"/>
      <c r="G816" s="11"/>
    </row>
    <row r="817" spans="4:7">
      <c r="D817" s="11"/>
      <c r="E817" s="11"/>
      <c r="F817" s="11"/>
      <c r="G817" s="11"/>
    </row>
    <row r="818" spans="4:7">
      <c r="D818" s="11"/>
      <c r="E818" s="11"/>
      <c r="F818" s="11"/>
      <c r="G818" s="11"/>
    </row>
    <row r="819" spans="4:7">
      <c r="D819" s="11"/>
      <c r="E819" s="11"/>
      <c r="F819" s="11"/>
      <c r="G819" s="11"/>
    </row>
    <row r="820" spans="4:7">
      <c r="D820" s="11"/>
      <c r="E820" s="11"/>
      <c r="F820" s="11"/>
      <c r="G820" s="11"/>
    </row>
    <row r="821" spans="4:7">
      <c r="D821" s="11"/>
      <c r="E821" s="11"/>
      <c r="F821" s="11"/>
      <c r="G821" s="11"/>
    </row>
    <row r="822" spans="4:7">
      <c r="D822" s="11"/>
      <c r="E822" s="11"/>
      <c r="F822" s="11"/>
      <c r="G822" s="11"/>
    </row>
    <row r="823" spans="4:7">
      <c r="D823" s="11"/>
      <c r="E823" s="11"/>
      <c r="F823" s="11"/>
      <c r="G823" s="11"/>
    </row>
    <row r="824" spans="4:7">
      <c r="D824" s="11"/>
      <c r="E824" s="11"/>
      <c r="F824" s="11"/>
      <c r="G824" s="11"/>
    </row>
    <row r="825" spans="4:7">
      <c r="D825" s="11"/>
      <c r="E825" s="11"/>
      <c r="F825" s="11"/>
      <c r="G825" s="11"/>
    </row>
    <row r="826" spans="4:7">
      <c r="D826" s="11"/>
      <c r="E826" s="11"/>
      <c r="F826" s="11"/>
      <c r="G826" s="11"/>
    </row>
    <row r="827" spans="4:7">
      <c r="D827" s="11"/>
      <c r="E827" s="11"/>
      <c r="F827" s="11"/>
      <c r="G827" s="11"/>
    </row>
    <row r="828" spans="4:7">
      <c r="D828" s="11"/>
      <c r="E828" s="11"/>
      <c r="F828" s="11"/>
      <c r="G828" s="11"/>
    </row>
    <row r="829" spans="4:7">
      <c r="D829" s="11"/>
      <c r="E829" s="11"/>
      <c r="F829" s="11"/>
      <c r="G829" s="11"/>
    </row>
    <row r="830" spans="4:7">
      <c r="D830" s="11"/>
      <c r="E830" s="11"/>
      <c r="F830" s="11"/>
      <c r="G830" s="11"/>
    </row>
    <row r="831" spans="4:7">
      <c r="D831" s="11"/>
      <c r="E831" s="11"/>
      <c r="F831" s="11"/>
      <c r="G831" s="11"/>
    </row>
    <row r="832" spans="4:7">
      <c r="D832" s="11"/>
      <c r="E832" s="11"/>
      <c r="F832" s="11"/>
      <c r="G832" s="11"/>
    </row>
    <row r="833" spans="4:7">
      <c r="D833" s="11"/>
      <c r="E833" s="11"/>
      <c r="F833" s="11"/>
      <c r="G833" s="11"/>
    </row>
    <row r="834" spans="4:7">
      <c r="D834" s="11"/>
      <c r="E834" s="11"/>
      <c r="F834" s="11"/>
      <c r="G834" s="11"/>
    </row>
    <row r="835" spans="4:7">
      <c r="D835" s="11"/>
      <c r="E835" s="11"/>
      <c r="F835" s="11"/>
      <c r="G835" s="11"/>
    </row>
    <row r="836" spans="4:7">
      <c r="D836" s="11"/>
      <c r="E836" s="11"/>
      <c r="F836" s="11"/>
      <c r="G836" s="11"/>
    </row>
    <row r="837" spans="4:7">
      <c r="D837" s="11"/>
      <c r="E837" s="11"/>
      <c r="F837" s="11"/>
      <c r="G837" s="11"/>
    </row>
    <row r="838" spans="4:7">
      <c r="D838" s="11"/>
      <c r="E838" s="11"/>
      <c r="F838" s="11"/>
      <c r="G838" s="11"/>
    </row>
    <row r="839" spans="4:7">
      <c r="D839" s="11"/>
      <c r="E839" s="11"/>
      <c r="F839" s="11"/>
      <c r="G839" s="11"/>
    </row>
    <row r="840" spans="4:7">
      <c r="D840" s="11"/>
      <c r="E840" s="11"/>
      <c r="F840" s="11"/>
      <c r="G840" s="11"/>
    </row>
    <row r="841" spans="4:7">
      <c r="D841" s="11"/>
      <c r="E841" s="11"/>
      <c r="F841" s="11"/>
      <c r="G841" s="11"/>
    </row>
    <row r="842" spans="4:7">
      <c r="D842" s="11"/>
      <c r="E842" s="11"/>
      <c r="F842" s="11"/>
      <c r="G842" s="11"/>
    </row>
    <row r="843" spans="4:7">
      <c r="D843" s="11"/>
      <c r="E843" s="11"/>
      <c r="F843" s="11"/>
      <c r="G843" s="11"/>
    </row>
    <row r="844" spans="4:7">
      <c r="D844" s="11"/>
      <c r="E844" s="11"/>
      <c r="F844" s="11"/>
      <c r="G844" s="11"/>
    </row>
    <row r="845" spans="4:7">
      <c r="D845" s="11"/>
      <c r="E845" s="11"/>
      <c r="F845" s="11"/>
      <c r="G845" s="11"/>
    </row>
    <row r="846" spans="4:7">
      <c r="D846" s="11"/>
      <c r="E846" s="11"/>
      <c r="F846" s="11"/>
      <c r="G846" s="11"/>
    </row>
    <row r="847" spans="4:7">
      <c r="D847" s="11"/>
      <c r="E847" s="11"/>
      <c r="F847" s="11"/>
      <c r="G847" s="11"/>
    </row>
    <row r="848" spans="4:7">
      <c r="D848" s="11"/>
      <c r="E848" s="11"/>
      <c r="F848" s="11"/>
      <c r="G848" s="11"/>
    </row>
    <row r="849" spans="4:7">
      <c r="D849" s="11"/>
      <c r="E849" s="11"/>
      <c r="F849" s="11"/>
      <c r="G849" s="11"/>
    </row>
    <row r="850" spans="4:7">
      <c r="D850" s="11"/>
      <c r="E850" s="11"/>
      <c r="F850" s="11"/>
      <c r="G850" s="11"/>
    </row>
    <row r="851" spans="4:7">
      <c r="D851" s="11"/>
      <c r="E851" s="11"/>
      <c r="F851" s="11"/>
      <c r="G851" s="11"/>
    </row>
    <row r="852" spans="4:7">
      <c r="D852" s="11"/>
      <c r="E852" s="11"/>
      <c r="F852" s="11"/>
      <c r="G852" s="11"/>
    </row>
    <row r="853" spans="4:7">
      <c r="D853" s="11"/>
      <c r="E853" s="11"/>
      <c r="F853" s="11"/>
      <c r="G853" s="11"/>
    </row>
    <row r="854" spans="4:7">
      <c r="D854" s="11"/>
      <c r="E854" s="11"/>
      <c r="F854" s="11"/>
      <c r="G854" s="11"/>
    </row>
    <row r="855" spans="4:7">
      <c r="D855" s="11"/>
      <c r="E855" s="11"/>
      <c r="F855" s="11"/>
      <c r="G855" s="11"/>
    </row>
    <row r="856" spans="4:7">
      <c r="D856" s="11"/>
      <c r="E856" s="11"/>
      <c r="F856" s="11"/>
      <c r="G856" s="11"/>
    </row>
    <row r="857" spans="4:7">
      <c r="D857" s="11"/>
      <c r="E857" s="11"/>
      <c r="F857" s="11"/>
      <c r="G857" s="11"/>
    </row>
    <row r="858" spans="4:7">
      <c r="D858" s="11"/>
      <c r="E858" s="11"/>
      <c r="F858" s="11"/>
      <c r="G858" s="11"/>
    </row>
    <row r="859" spans="4:7">
      <c r="D859" s="11"/>
      <c r="E859" s="11"/>
      <c r="F859" s="11"/>
      <c r="G859" s="11"/>
    </row>
    <row r="860" spans="4:7">
      <c r="D860" s="11"/>
      <c r="E860" s="11"/>
      <c r="F860" s="11"/>
      <c r="G860" s="11"/>
    </row>
    <row r="861" spans="4:7">
      <c r="D861" s="11"/>
      <c r="E861" s="11"/>
      <c r="F861" s="11"/>
      <c r="G861" s="11"/>
    </row>
    <row r="862" spans="4:7">
      <c r="D862" s="11"/>
      <c r="E862" s="11"/>
      <c r="F862" s="11"/>
      <c r="G862" s="11"/>
    </row>
    <row r="863" spans="4:7">
      <c r="D863" s="11"/>
      <c r="E863" s="11"/>
      <c r="F863" s="11"/>
      <c r="G863" s="11"/>
    </row>
    <row r="864" spans="4:7">
      <c r="D864" s="11"/>
      <c r="E864" s="11"/>
      <c r="F864" s="11"/>
      <c r="G864" s="11"/>
    </row>
    <row r="865" spans="4:7">
      <c r="D865" s="11"/>
      <c r="E865" s="11"/>
      <c r="F865" s="11"/>
      <c r="G865" s="11"/>
    </row>
    <row r="866" spans="4:7">
      <c r="D866" s="11"/>
      <c r="E866" s="11"/>
      <c r="F866" s="11"/>
      <c r="G866" s="11"/>
    </row>
    <row r="867" spans="4:7">
      <c r="D867" s="11"/>
      <c r="E867" s="11"/>
      <c r="F867" s="11"/>
      <c r="G867" s="11"/>
    </row>
    <row r="868" spans="4:7">
      <c r="D868" s="11"/>
      <c r="E868" s="11"/>
      <c r="F868" s="11"/>
      <c r="G868" s="11"/>
    </row>
    <row r="869" spans="4:7">
      <c r="D869" s="11"/>
      <c r="E869" s="11"/>
      <c r="F869" s="11"/>
      <c r="G869" s="11"/>
    </row>
    <row r="870" spans="4:7">
      <c r="D870" s="11"/>
      <c r="E870" s="11"/>
      <c r="F870" s="11"/>
      <c r="G870" s="11"/>
    </row>
    <row r="871" spans="4:7">
      <c r="D871" s="11"/>
      <c r="E871" s="11"/>
      <c r="F871" s="11"/>
      <c r="G871" s="11"/>
    </row>
    <row r="872" spans="4:7">
      <c r="D872" s="11"/>
      <c r="E872" s="11"/>
      <c r="F872" s="11"/>
      <c r="G872" s="11"/>
    </row>
    <row r="873" spans="4:7">
      <c r="D873" s="11"/>
      <c r="E873" s="11"/>
      <c r="F873" s="11"/>
      <c r="G873" s="11"/>
    </row>
    <row r="874" spans="4:7">
      <c r="D874" s="11"/>
      <c r="E874" s="11"/>
      <c r="F874" s="11"/>
      <c r="G874" s="11"/>
    </row>
    <row r="875" spans="4:7">
      <c r="D875" s="11"/>
      <c r="E875" s="11"/>
      <c r="F875" s="11"/>
      <c r="G875" s="11"/>
    </row>
    <row r="876" spans="4:7">
      <c r="D876" s="11"/>
      <c r="E876" s="11"/>
      <c r="F876" s="11"/>
      <c r="G876" s="11"/>
    </row>
    <row r="877" spans="4:7">
      <c r="D877" s="11"/>
      <c r="E877" s="11"/>
      <c r="F877" s="11"/>
      <c r="G877" s="11"/>
    </row>
    <row r="878" spans="4:7">
      <c r="D878" s="11"/>
      <c r="E878" s="11"/>
      <c r="F878" s="11"/>
      <c r="G878" s="11"/>
    </row>
    <row r="879" spans="4:7">
      <c r="D879" s="11"/>
      <c r="E879" s="11"/>
      <c r="F879" s="11"/>
      <c r="G879" s="11"/>
    </row>
    <row r="880" spans="4:7">
      <c r="D880" s="11"/>
      <c r="E880" s="11"/>
      <c r="F880" s="11"/>
      <c r="G880" s="11"/>
    </row>
    <row r="881" spans="4:7">
      <c r="D881" s="11"/>
      <c r="E881" s="11"/>
      <c r="F881" s="11"/>
      <c r="G881" s="11"/>
    </row>
    <row r="882" spans="4:7">
      <c r="D882" s="11"/>
      <c r="E882" s="11"/>
      <c r="F882" s="11"/>
      <c r="G882" s="11"/>
    </row>
    <row r="883" spans="4:7">
      <c r="D883" s="11"/>
      <c r="E883" s="11"/>
      <c r="F883" s="11"/>
      <c r="G883" s="11"/>
    </row>
    <row r="884" spans="4:7">
      <c r="D884" s="11"/>
      <c r="E884" s="11"/>
      <c r="F884" s="11"/>
      <c r="G884" s="11"/>
    </row>
    <row r="885" spans="4:7">
      <c r="D885" s="11"/>
      <c r="E885" s="11"/>
      <c r="F885" s="11"/>
      <c r="G885" s="11"/>
    </row>
    <row r="886" spans="4:7">
      <c r="D886" s="11"/>
      <c r="E886" s="11"/>
      <c r="F886" s="11"/>
      <c r="G886" s="11"/>
    </row>
    <row r="887" spans="4:7">
      <c r="D887" s="11"/>
      <c r="E887" s="11"/>
      <c r="F887" s="11"/>
      <c r="G887" s="11"/>
    </row>
    <row r="888" spans="4:7">
      <c r="D888" s="11"/>
      <c r="E888" s="11"/>
      <c r="F888" s="11"/>
      <c r="G888" s="11"/>
    </row>
    <row r="889" spans="4:7">
      <c r="D889" s="11"/>
      <c r="E889" s="11"/>
      <c r="F889" s="11"/>
      <c r="G889" s="11"/>
    </row>
    <row r="890" spans="4:7">
      <c r="D890" s="11"/>
      <c r="E890" s="11"/>
      <c r="F890" s="11"/>
      <c r="G890" s="11"/>
    </row>
    <row r="891" spans="4:7">
      <c r="D891" s="11"/>
      <c r="E891" s="11"/>
      <c r="F891" s="11"/>
      <c r="G891" s="11"/>
    </row>
    <row r="892" spans="4:7">
      <c r="D892" s="11"/>
      <c r="E892" s="11"/>
      <c r="F892" s="11"/>
      <c r="G892" s="11"/>
    </row>
    <row r="893" spans="4:7">
      <c r="D893" s="11"/>
      <c r="E893" s="11"/>
      <c r="F893" s="11"/>
      <c r="G893" s="11"/>
    </row>
    <row r="894" spans="4:7">
      <c r="D894" s="11"/>
      <c r="E894" s="11"/>
      <c r="F894" s="11"/>
      <c r="G894" s="11"/>
    </row>
    <row r="895" spans="4:7">
      <c r="D895" s="11"/>
      <c r="E895" s="11"/>
      <c r="F895" s="11"/>
      <c r="G895" s="11"/>
    </row>
    <row r="896" spans="4:7">
      <c r="D896" s="11"/>
      <c r="E896" s="11"/>
      <c r="F896" s="11"/>
      <c r="G896" s="11"/>
    </row>
    <row r="897" spans="4:7">
      <c r="D897" s="11"/>
      <c r="E897" s="11"/>
      <c r="F897" s="11"/>
      <c r="G897" s="11"/>
    </row>
    <row r="898" spans="4:7">
      <c r="D898" s="11"/>
      <c r="E898" s="11"/>
      <c r="F898" s="11"/>
      <c r="G898" s="11"/>
    </row>
    <row r="899" spans="4:7">
      <c r="D899" s="11"/>
      <c r="E899" s="11"/>
      <c r="F899" s="11"/>
      <c r="G899" s="11"/>
    </row>
    <row r="900" spans="4:7">
      <c r="D900" s="11"/>
      <c r="E900" s="11"/>
      <c r="F900" s="11"/>
      <c r="G900" s="11"/>
    </row>
    <row r="901" spans="4:7">
      <c r="D901" s="11"/>
      <c r="E901" s="11"/>
      <c r="F901" s="11"/>
      <c r="G901" s="11"/>
    </row>
    <row r="902" spans="4:7">
      <c r="D902" s="11"/>
      <c r="E902" s="11"/>
      <c r="F902" s="11"/>
      <c r="G902" s="11"/>
    </row>
    <row r="903" spans="4:7">
      <c r="D903" s="11"/>
      <c r="E903" s="11"/>
      <c r="F903" s="11"/>
      <c r="G903" s="11"/>
    </row>
    <row r="904" spans="4:7">
      <c r="D904" s="11"/>
      <c r="E904" s="11"/>
      <c r="F904" s="11"/>
      <c r="G904" s="11"/>
    </row>
    <row r="905" spans="4:7">
      <c r="D905" s="11"/>
      <c r="E905" s="11"/>
      <c r="F905" s="11"/>
      <c r="G905" s="11"/>
    </row>
    <row r="906" spans="4:7">
      <c r="D906" s="11"/>
      <c r="E906" s="11"/>
      <c r="F906" s="11"/>
      <c r="G906" s="11"/>
    </row>
    <row r="907" spans="4:7">
      <c r="D907" s="11"/>
      <c r="E907" s="11"/>
      <c r="F907" s="11"/>
      <c r="G907" s="11"/>
    </row>
    <row r="908" spans="4:7">
      <c r="D908" s="11"/>
      <c r="E908" s="11"/>
      <c r="F908" s="11"/>
      <c r="G908" s="11"/>
    </row>
    <row r="909" spans="4:7">
      <c r="D909" s="11"/>
      <c r="E909" s="11"/>
      <c r="F909" s="11"/>
      <c r="G909" s="11"/>
    </row>
    <row r="910" spans="4:7">
      <c r="D910" s="11"/>
      <c r="E910" s="11"/>
      <c r="F910" s="11"/>
      <c r="G910" s="11"/>
    </row>
    <row r="911" spans="4:7">
      <c r="D911" s="11"/>
      <c r="E911" s="11"/>
      <c r="F911" s="11"/>
      <c r="G911" s="11"/>
    </row>
    <row r="912" spans="4:7">
      <c r="D912" s="11"/>
      <c r="E912" s="11"/>
      <c r="F912" s="11"/>
      <c r="G912" s="11"/>
    </row>
    <row r="913" spans="4:7">
      <c r="D913" s="11"/>
      <c r="E913" s="11"/>
      <c r="F913" s="11"/>
      <c r="G913" s="11"/>
    </row>
    <row r="914" spans="4:7">
      <c r="D914" s="11"/>
      <c r="E914" s="11"/>
      <c r="F914" s="11"/>
      <c r="G914" s="11"/>
    </row>
    <row r="915" spans="4:7">
      <c r="D915" s="11"/>
      <c r="E915" s="11"/>
      <c r="F915" s="11"/>
      <c r="G915" s="11"/>
    </row>
    <row r="916" spans="4:7">
      <c r="D916" s="11"/>
      <c r="E916" s="11"/>
      <c r="F916" s="11"/>
      <c r="G916" s="11"/>
    </row>
    <row r="917" spans="4:7">
      <c r="D917" s="11"/>
      <c r="E917" s="11"/>
      <c r="F917" s="11"/>
      <c r="G917" s="11"/>
    </row>
    <row r="918" spans="4:7">
      <c r="D918" s="11"/>
      <c r="E918" s="11"/>
      <c r="F918" s="11"/>
      <c r="G918" s="11"/>
    </row>
    <row r="919" spans="4:7">
      <c r="D919" s="11"/>
      <c r="E919" s="11"/>
      <c r="F919" s="11"/>
      <c r="G919" s="11"/>
    </row>
    <row r="920" spans="4:7">
      <c r="D920" s="11"/>
      <c r="E920" s="11"/>
      <c r="F920" s="11"/>
      <c r="G920" s="11"/>
    </row>
    <row r="921" spans="4:7">
      <c r="D921" s="11"/>
      <c r="E921" s="11"/>
      <c r="F921" s="11"/>
      <c r="G921" s="11"/>
    </row>
    <row r="922" spans="4:7">
      <c r="D922" s="11"/>
      <c r="E922" s="11"/>
      <c r="F922" s="11"/>
      <c r="G922" s="11"/>
    </row>
    <row r="923" spans="4:7">
      <c r="D923" s="11"/>
      <c r="E923" s="11"/>
      <c r="F923" s="11"/>
      <c r="G923" s="11"/>
    </row>
    <row r="924" spans="4:7">
      <c r="D924" s="11"/>
      <c r="E924" s="11"/>
      <c r="F924" s="11"/>
      <c r="G924" s="11"/>
    </row>
    <row r="925" spans="4:7">
      <c r="D925" s="11"/>
      <c r="E925" s="11"/>
      <c r="F925" s="11"/>
      <c r="G925" s="11"/>
    </row>
    <row r="926" spans="4:7">
      <c r="D926" s="11"/>
      <c r="E926" s="11"/>
      <c r="F926" s="11"/>
      <c r="G926" s="11"/>
    </row>
    <row r="927" spans="4:7">
      <c r="D927" s="11"/>
      <c r="E927" s="11"/>
      <c r="F927" s="11"/>
      <c r="G927" s="11"/>
    </row>
    <row r="928" spans="4:7">
      <c r="D928" s="11"/>
      <c r="E928" s="11"/>
      <c r="F928" s="11"/>
      <c r="G928" s="11"/>
    </row>
    <row r="929" spans="4:7">
      <c r="D929" s="11"/>
      <c r="E929" s="11"/>
      <c r="F929" s="11"/>
      <c r="G929" s="11"/>
    </row>
    <row r="930" spans="4:7">
      <c r="D930" s="11"/>
      <c r="E930" s="11"/>
      <c r="F930" s="11"/>
      <c r="G930" s="11"/>
    </row>
    <row r="931" spans="4:7">
      <c r="D931" s="11"/>
      <c r="E931" s="11"/>
      <c r="F931" s="11"/>
      <c r="G931" s="11"/>
    </row>
    <row r="932" spans="4:7">
      <c r="D932" s="11"/>
      <c r="E932" s="11"/>
      <c r="F932" s="11"/>
      <c r="G932" s="11"/>
    </row>
    <row r="933" spans="4:7">
      <c r="D933" s="11"/>
      <c r="E933" s="11"/>
      <c r="F933" s="11"/>
      <c r="G933" s="11"/>
    </row>
    <row r="934" spans="4:7">
      <c r="D934" s="11"/>
      <c r="E934" s="11"/>
      <c r="F934" s="11"/>
      <c r="G934" s="11"/>
    </row>
    <row r="935" spans="4:7">
      <c r="D935" s="11"/>
      <c r="E935" s="11"/>
      <c r="F935" s="11"/>
      <c r="G935" s="11"/>
    </row>
    <row r="936" spans="4:7">
      <c r="D936" s="11"/>
      <c r="E936" s="11"/>
      <c r="F936" s="11"/>
      <c r="G936" s="11"/>
    </row>
    <row r="937" spans="4:7">
      <c r="D937" s="11"/>
      <c r="E937" s="11"/>
      <c r="F937" s="11"/>
      <c r="G937" s="11"/>
    </row>
    <row r="938" spans="4:7">
      <c r="D938" s="11"/>
      <c r="E938" s="11"/>
      <c r="F938" s="11"/>
      <c r="G938" s="11"/>
    </row>
    <row r="939" spans="4:7">
      <c r="D939" s="11"/>
      <c r="E939" s="11"/>
      <c r="F939" s="11"/>
      <c r="G939" s="11"/>
    </row>
    <row r="940" spans="4:7">
      <c r="D940" s="11"/>
      <c r="E940" s="11"/>
      <c r="F940" s="11"/>
      <c r="G940" s="11"/>
    </row>
    <row r="941" spans="4:7">
      <c r="D941" s="11"/>
      <c r="E941" s="11"/>
      <c r="F941" s="11"/>
      <c r="G941" s="11"/>
    </row>
    <row r="942" spans="4:7">
      <c r="D942" s="11"/>
      <c r="E942" s="11"/>
      <c r="F942" s="11"/>
      <c r="G942" s="11"/>
    </row>
    <row r="943" spans="4:7">
      <c r="D943" s="11"/>
      <c r="E943" s="11"/>
      <c r="F943" s="11"/>
      <c r="G943" s="11"/>
    </row>
    <row r="944" spans="4:7">
      <c r="D944" s="11"/>
      <c r="E944" s="11"/>
      <c r="F944" s="11"/>
      <c r="G944" s="11"/>
    </row>
    <row r="945" spans="4:7">
      <c r="D945" s="11"/>
      <c r="E945" s="11"/>
      <c r="F945" s="11"/>
      <c r="G945" s="11"/>
    </row>
    <row r="946" spans="4:7">
      <c r="D946" s="11"/>
      <c r="E946" s="11"/>
      <c r="F946" s="11"/>
      <c r="G946" s="11"/>
    </row>
    <row r="947" spans="4:7">
      <c r="D947" s="11"/>
      <c r="E947" s="11"/>
      <c r="F947" s="11"/>
      <c r="G947" s="11"/>
    </row>
    <row r="948" spans="4:7">
      <c r="D948" s="11"/>
      <c r="E948" s="11"/>
      <c r="F948" s="11"/>
      <c r="G948" s="11"/>
    </row>
    <row r="949" spans="4:7">
      <c r="D949" s="11"/>
      <c r="E949" s="11"/>
      <c r="F949" s="11"/>
      <c r="G949" s="11"/>
    </row>
    <row r="950" spans="4:7">
      <c r="D950" s="11"/>
      <c r="E950" s="11"/>
      <c r="F950" s="11"/>
      <c r="G950" s="11"/>
    </row>
    <row r="951" spans="4:7">
      <c r="D951" s="11"/>
      <c r="E951" s="11"/>
      <c r="F951" s="11"/>
      <c r="G951" s="11"/>
    </row>
    <row r="952" spans="4:7">
      <c r="D952" s="11"/>
      <c r="E952" s="11"/>
      <c r="F952" s="11"/>
      <c r="G952" s="11"/>
    </row>
    <row r="953" spans="4:7">
      <c r="D953" s="11"/>
      <c r="E953" s="11"/>
      <c r="F953" s="11"/>
      <c r="G953" s="11"/>
    </row>
    <row r="954" spans="4:7">
      <c r="D954" s="11"/>
      <c r="E954" s="11"/>
      <c r="F954" s="11"/>
      <c r="G954" s="11"/>
    </row>
    <row r="955" spans="4:7">
      <c r="D955" s="11"/>
      <c r="E955" s="11"/>
      <c r="F955" s="11"/>
      <c r="G955" s="11"/>
    </row>
    <row r="956" spans="4:7">
      <c r="D956" s="11"/>
      <c r="E956" s="11"/>
      <c r="F956" s="11"/>
      <c r="G956" s="11"/>
    </row>
    <row r="957" spans="4:7">
      <c r="D957" s="11"/>
      <c r="E957" s="11"/>
      <c r="F957" s="11"/>
      <c r="G957" s="11"/>
    </row>
    <row r="958" spans="4:7">
      <c r="D958" s="11"/>
      <c r="E958" s="11"/>
      <c r="F958" s="11"/>
      <c r="G958" s="11"/>
    </row>
    <row r="959" spans="4:7">
      <c r="D959" s="11"/>
      <c r="E959" s="11"/>
      <c r="F959" s="11"/>
      <c r="G959" s="11"/>
    </row>
    <row r="960" spans="4:7">
      <c r="D960" s="11"/>
      <c r="E960" s="11"/>
      <c r="F960" s="11"/>
      <c r="G960" s="11"/>
    </row>
    <row r="961" spans="4:7">
      <c r="D961" s="11"/>
      <c r="E961" s="11"/>
      <c r="F961" s="11"/>
      <c r="G961" s="11"/>
    </row>
    <row r="962" spans="4:7">
      <c r="D962" s="11"/>
      <c r="E962" s="11"/>
      <c r="F962" s="11"/>
      <c r="G962" s="11"/>
    </row>
    <row r="963" spans="4:7">
      <c r="D963" s="11"/>
      <c r="E963" s="11"/>
      <c r="F963" s="11"/>
      <c r="G963" s="11"/>
    </row>
    <row r="964" spans="4:7">
      <c r="D964" s="11"/>
      <c r="E964" s="11"/>
      <c r="F964" s="11"/>
      <c r="G964" s="11"/>
    </row>
    <row r="965" spans="4:7">
      <c r="D965" s="11"/>
      <c r="E965" s="11"/>
      <c r="F965" s="11"/>
      <c r="G965" s="11"/>
    </row>
    <row r="966" spans="4:7">
      <c r="D966" s="11"/>
      <c r="E966" s="11"/>
      <c r="F966" s="11"/>
      <c r="G966" s="11"/>
    </row>
    <row r="967" spans="4:7">
      <c r="D967" s="11"/>
      <c r="E967" s="11"/>
      <c r="F967" s="11"/>
      <c r="G967" s="11"/>
    </row>
    <row r="968" spans="4:7">
      <c r="D968" s="11"/>
      <c r="E968" s="11"/>
      <c r="F968" s="11"/>
      <c r="G968" s="11"/>
    </row>
    <row r="969" spans="4:7">
      <c r="D969" s="11"/>
      <c r="E969" s="11"/>
      <c r="F969" s="11"/>
      <c r="G969" s="11"/>
    </row>
    <row r="970" spans="4:7">
      <c r="D970" s="11"/>
      <c r="E970" s="11"/>
      <c r="F970" s="11"/>
      <c r="G970" s="11"/>
    </row>
    <row r="971" spans="4:7">
      <c r="D971" s="11"/>
      <c r="E971" s="11"/>
      <c r="F971" s="11"/>
      <c r="G971" s="11"/>
    </row>
    <row r="972" spans="4:7">
      <c r="D972" s="11"/>
      <c r="E972" s="11"/>
      <c r="F972" s="11"/>
      <c r="G972" s="11"/>
    </row>
    <row r="973" spans="4:7">
      <c r="D973" s="11"/>
      <c r="E973" s="11"/>
      <c r="F973" s="11"/>
      <c r="G973" s="11"/>
    </row>
    <row r="974" spans="4:7">
      <c r="D974" s="11"/>
      <c r="E974" s="11"/>
      <c r="F974" s="11"/>
      <c r="G974" s="11"/>
    </row>
    <row r="975" spans="4:7">
      <c r="D975" s="11"/>
      <c r="E975" s="11"/>
      <c r="F975" s="11"/>
      <c r="G975" s="11"/>
    </row>
    <row r="976" spans="4:7">
      <c r="D976" s="11"/>
      <c r="E976" s="11"/>
      <c r="F976" s="11"/>
      <c r="G976" s="11"/>
    </row>
    <row r="977" spans="4:7">
      <c r="D977" s="11"/>
      <c r="E977" s="11"/>
      <c r="F977" s="11"/>
      <c r="G977" s="11"/>
    </row>
    <row r="978" spans="4:7">
      <c r="D978" s="11"/>
      <c r="E978" s="11"/>
      <c r="F978" s="11"/>
      <c r="G978" s="11"/>
    </row>
    <row r="979" spans="4:7">
      <c r="D979" s="11"/>
      <c r="E979" s="11"/>
      <c r="F979" s="11"/>
      <c r="G979" s="11"/>
    </row>
    <row r="980" spans="4:7">
      <c r="D980" s="11"/>
      <c r="E980" s="11"/>
      <c r="F980" s="11"/>
      <c r="G980" s="11"/>
    </row>
    <row r="981" spans="4:7">
      <c r="D981" s="11"/>
      <c r="E981" s="11"/>
      <c r="F981" s="11"/>
      <c r="G981" s="11"/>
    </row>
    <row r="982" spans="4:7">
      <c r="D982" s="11"/>
      <c r="E982" s="11"/>
      <c r="F982" s="11"/>
      <c r="G982" s="11"/>
    </row>
    <row r="983" spans="4:7">
      <c r="D983" s="11"/>
      <c r="E983" s="11"/>
      <c r="F983" s="11"/>
      <c r="G983" s="11"/>
    </row>
    <row r="984" spans="4:7">
      <c r="D984" s="11"/>
      <c r="E984" s="11"/>
      <c r="F984" s="11"/>
      <c r="G984" s="11"/>
    </row>
    <row r="985" spans="4:7">
      <c r="D985" s="11"/>
      <c r="E985" s="11"/>
      <c r="F985" s="11"/>
      <c r="G985" s="11"/>
    </row>
    <row r="986" spans="4:7">
      <c r="D986" s="11"/>
      <c r="E986" s="11"/>
      <c r="F986" s="11"/>
      <c r="G986" s="11"/>
    </row>
    <row r="987" spans="4:7">
      <c r="D987" s="11"/>
      <c r="E987" s="11"/>
      <c r="F987" s="11"/>
      <c r="G987" s="11"/>
    </row>
    <row r="988" spans="4:7">
      <c r="D988" s="11"/>
      <c r="E988" s="11"/>
      <c r="F988" s="11"/>
      <c r="G988" s="11"/>
    </row>
    <row r="989" spans="4:7">
      <c r="D989" s="11"/>
      <c r="E989" s="11"/>
      <c r="F989" s="11"/>
      <c r="G989" s="11"/>
    </row>
    <row r="990" spans="4:7">
      <c r="D990" s="11"/>
      <c r="E990" s="11"/>
      <c r="F990" s="11"/>
      <c r="G990" s="11"/>
    </row>
    <row r="991" spans="4:7">
      <c r="D991" s="11"/>
      <c r="E991" s="11"/>
      <c r="F991" s="11"/>
      <c r="G991" s="11"/>
    </row>
    <row r="992" spans="4:7">
      <c r="D992" s="11"/>
      <c r="E992" s="11"/>
      <c r="F992" s="11"/>
      <c r="G992" s="11"/>
    </row>
    <row r="993" spans="4:7">
      <c r="D993" s="11"/>
      <c r="E993" s="11"/>
      <c r="F993" s="11"/>
      <c r="G993" s="11"/>
    </row>
    <row r="994" spans="4:7">
      <c r="D994" s="11"/>
      <c r="E994" s="11"/>
      <c r="F994" s="11"/>
      <c r="G994" s="11"/>
    </row>
    <row r="995" spans="4:7">
      <c r="D995" s="11"/>
      <c r="E995" s="11"/>
      <c r="F995" s="11"/>
      <c r="G995" s="11"/>
    </row>
    <row r="996" spans="4:7">
      <c r="D996" s="11"/>
      <c r="E996" s="11"/>
      <c r="F996" s="11"/>
      <c r="G996" s="11"/>
    </row>
    <row r="997" spans="4:7">
      <c r="D997" s="11"/>
      <c r="E997" s="11"/>
      <c r="F997" s="11"/>
      <c r="G997" s="11"/>
    </row>
    <row r="998" spans="4:7">
      <c r="D998" s="11"/>
      <c r="E998" s="11"/>
      <c r="F998" s="11"/>
      <c r="G998" s="11"/>
    </row>
    <row r="999" spans="4:7">
      <c r="D999" s="11"/>
      <c r="E999" s="11"/>
      <c r="F999" s="11"/>
      <c r="G999" s="11"/>
    </row>
    <row r="1000" spans="4:7">
      <c r="D1000" s="11"/>
      <c r="E1000" s="11"/>
      <c r="F1000" s="11"/>
      <c r="G1000" s="11"/>
    </row>
    <row r="1001" spans="4:7">
      <c r="D1001" s="11"/>
      <c r="E1001" s="11"/>
      <c r="F1001" s="11"/>
      <c r="G1001" s="11"/>
    </row>
    <row r="1002" spans="4:7">
      <c r="D1002" s="11"/>
      <c r="E1002" s="11"/>
      <c r="F1002" s="11"/>
      <c r="G1002" s="11"/>
    </row>
    <row r="1003" spans="4:7">
      <c r="D1003" s="11"/>
      <c r="E1003" s="11"/>
      <c r="F1003" s="11"/>
      <c r="G1003" s="11"/>
    </row>
    <row r="1004" spans="4:7">
      <c r="D1004" s="11"/>
      <c r="E1004" s="11"/>
      <c r="F1004" s="11"/>
      <c r="G1004" s="11"/>
    </row>
    <row r="1005" spans="4:7">
      <c r="D1005" s="11"/>
      <c r="E1005" s="11"/>
      <c r="F1005" s="11"/>
      <c r="G1005" s="11"/>
    </row>
    <row r="1006" spans="4:7">
      <c r="D1006" s="11"/>
      <c r="E1006" s="11"/>
      <c r="F1006" s="11"/>
      <c r="G1006" s="11"/>
    </row>
    <row r="1007" spans="4:7">
      <c r="D1007" s="11"/>
      <c r="E1007" s="11"/>
      <c r="F1007" s="11"/>
      <c r="G1007" s="11"/>
    </row>
    <row r="1008" spans="4:7">
      <c r="D1008" s="11"/>
      <c r="E1008" s="11"/>
      <c r="F1008" s="11"/>
      <c r="G1008" s="11"/>
    </row>
    <row r="1009" spans="4:7">
      <c r="D1009" s="11"/>
      <c r="E1009" s="11"/>
      <c r="F1009" s="11"/>
      <c r="G1009" s="11"/>
    </row>
    <row r="1010" spans="4:7">
      <c r="D1010" s="11"/>
      <c r="E1010" s="11"/>
      <c r="F1010" s="11"/>
      <c r="G1010" s="11"/>
    </row>
    <row r="1011" spans="4:7">
      <c r="D1011" s="11"/>
      <c r="E1011" s="11"/>
      <c r="F1011" s="11"/>
      <c r="G1011" s="11"/>
    </row>
    <row r="1012" spans="4:7">
      <c r="D1012" s="11"/>
      <c r="E1012" s="11"/>
      <c r="F1012" s="11"/>
      <c r="G1012" s="11"/>
    </row>
    <row r="1013" spans="4:7">
      <c r="D1013" s="11"/>
      <c r="E1013" s="11"/>
      <c r="F1013" s="11"/>
      <c r="G1013" s="11"/>
    </row>
    <row r="1014" spans="4:7">
      <c r="D1014" s="11"/>
      <c r="E1014" s="11"/>
      <c r="F1014" s="11"/>
      <c r="G1014" s="11"/>
    </row>
    <row r="1015" spans="4:7">
      <c r="D1015" s="11"/>
      <c r="E1015" s="11"/>
      <c r="F1015" s="11"/>
      <c r="G1015" s="11"/>
    </row>
    <row r="1016" spans="4:7">
      <c r="D1016" s="11"/>
      <c r="E1016" s="11"/>
      <c r="F1016" s="11"/>
      <c r="G1016" s="11"/>
    </row>
    <row r="1017" spans="4:7">
      <c r="D1017" s="11"/>
      <c r="E1017" s="11"/>
      <c r="F1017" s="11"/>
      <c r="G1017" s="11"/>
    </row>
    <row r="1018" spans="4:7">
      <c r="D1018" s="11"/>
      <c r="E1018" s="11"/>
      <c r="F1018" s="11"/>
      <c r="G1018" s="11"/>
    </row>
    <row r="1019" spans="4:7">
      <c r="D1019" s="11"/>
      <c r="E1019" s="11"/>
      <c r="F1019" s="11"/>
      <c r="G1019" s="11"/>
    </row>
    <row r="1020" spans="4:7">
      <c r="D1020" s="11"/>
      <c r="E1020" s="11"/>
      <c r="F1020" s="11"/>
      <c r="G1020" s="11"/>
    </row>
    <row r="1021" spans="4:7">
      <c r="D1021" s="11"/>
      <c r="E1021" s="11"/>
      <c r="F1021" s="11"/>
      <c r="G1021" s="11"/>
    </row>
    <row r="1022" spans="4:7">
      <c r="D1022" s="11"/>
      <c r="E1022" s="11"/>
      <c r="F1022" s="11"/>
      <c r="G1022" s="11"/>
    </row>
    <row r="1023" spans="4:7">
      <c r="D1023" s="11"/>
      <c r="E1023" s="11"/>
      <c r="F1023" s="11"/>
      <c r="G1023" s="11"/>
    </row>
    <row r="1024" spans="4:7">
      <c r="D1024" s="11"/>
      <c r="E1024" s="11"/>
      <c r="F1024" s="11"/>
      <c r="G1024" s="11"/>
    </row>
    <row r="1025" spans="4:7">
      <c r="D1025" s="11"/>
      <c r="E1025" s="11"/>
      <c r="F1025" s="11"/>
      <c r="G1025" s="11"/>
    </row>
    <row r="1026" spans="4:7">
      <c r="D1026" s="11"/>
      <c r="E1026" s="11"/>
      <c r="F1026" s="11"/>
      <c r="G1026" s="11"/>
    </row>
    <row r="1027" spans="4:7">
      <c r="D1027" s="11"/>
      <c r="E1027" s="11"/>
      <c r="F1027" s="11"/>
      <c r="G1027" s="11"/>
    </row>
    <row r="1028" spans="4:7">
      <c r="D1028" s="11"/>
      <c r="E1028" s="11"/>
      <c r="F1028" s="11"/>
      <c r="G1028" s="11"/>
    </row>
    <row r="1029" spans="4:7">
      <c r="D1029" s="11"/>
      <c r="E1029" s="11"/>
      <c r="F1029" s="11"/>
      <c r="G1029" s="11"/>
    </row>
    <row r="1030" spans="4:7">
      <c r="D1030" s="11"/>
      <c r="E1030" s="11"/>
      <c r="F1030" s="11"/>
      <c r="G1030" s="11"/>
    </row>
    <row r="1031" spans="4:7">
      <c r="D1031" s="11"/>
      <c r="E1031" s="11"/>
      <c r="F1031" s="11"/>
      <c r="G1031" s="11"/>
    </row>
    <row r="1032" spans="4:7">
      <c r="D1032" s="11"/>
      <c r="E1032" s="11"/>
      <c r="F1032" s="11"/>
      <c r="G1032" s="11"/>
    </row>
    <row r="1033" spans="4:7">
      <c r="D1033" s="11"/>
      <c r="E1033" s="11"/>
      <c r="F1033" s="11"/>
      <c r="G1033" s="11"/>
    </row>
    <row r="1034" spans="4:7">
      <c r="D1034" s="11"/>
      <c r="E1034" s="11"/>
      <c r="F1034" s="11"/>
      <c r="G1034" s="11"/>
    </row>
    <row r="1035" spans="4:7">
      <c r="D1035" s="11"/>
      <c r="E1035" s="11"/>
      <c r="F1035" s="11"/>
      <c r="G1035" s="11"/>
    </row>
    <row r="1036" spans="4:7">
      <c r="D1036" s="11"/>
      <c r="E1036" s="11"/>
      <c r="F1036" s="11"/>
      <c r="G1036" s="11"/>
    </row>
    <row r="1037" spans="4:7">
      <c r="D1037" s="11"/>
      <c r="E1037" s="11"/>
      <c r="F1037" s="11"/>
      <c r="G1037" s="11"/>
    </row>
    <row r="1038" spans="4:7">
      <c r="D1038" s="11"/>
      <c r="E1038" s="11"/>
      <c r="F1038" s="11"/>
      <c r="G1038" s="11"/>
    </row>
    <row r="1039" spans="4:7">
      <c r="D1039" s="11"/>
      <c r="E1039" s="11"/>
      <c r="F1039" s="11"/>
      <c r="G1039" s="11"/>
    </row>
    <row r="1040" spans="4:7">
      <c r="D1040" s="11"/>
      <c r="E1040" s="11"/>
      <c r="F1040" s="11"/>
      <c r="G1040" s="11"/>
    </row>
    <row r="1041" spans="4:7">
      <c r="D1041" s="11"/>
      <c r="E1041" s="11"/>
      <c r="F1041" s="11"/>
      <c r="G1041" s="11"/>
    </row>
    <row r="1042" spans="4:7">
      <c r="D1042" s="11"/>
      <c r="E1042" s="11"/>
      <c r="F1042" s="11"/>
      <c r="G1042" s="11"/>
    </row>
    <row r="1043" spans="4:7">
      <c r="D1043" s="11"/>
      <c r="E1043" s="11"/>
      <c r="F1043" s="11"/>
      <c r="G1043" s="11"/>
    </row>
    <row r="1044" spans="4:7">
      <c r="D1044" s="11"/>
      <c r="E1044" s="11"/>
      <c r="F1044" s="11"/>
      <c r="G1044" s="11"/>
    </row>
    <row r="1045" spans="4:7">
      <c r="D1045" s="11"/>
      <c r="E1045" s="11"/>
      <c r="F1045" s="11"/>
      <c r="G1045" s="11"/>
    </row>
    <row r="1046" spans="4:7">
      <c r="D1046" s="11"/>
      <c r="E1046" s="11"/>
      <c r="F1046" s="11"/>
      <c r="G1046" s="11"/>
    </row>
    <row r="1047" spans="4:7">
      <c r="D1047" s="11"/>
      <c r="E1047" s="11"/>
      <c r="F1047" s="11"/>
      <c r="G1047" s="11"/>
    </row>
    <row r="1048" spans="4:7">
      <c r="D1048" s="11"/>
      <c r="E1048" s="11"/>
      <c r="F1048" s="11"/>
      <c r="G1048" s="11"/>
    </row>
    <row r="1049" spans="4:7">
      <c r="D1049" s="11"/>
      <c r="E1049" s="11"/>
      <c r="F1049" s="11"/>
      <c r="G1049" s="11"/>
    </row>
    <row r="1050" spans="4:7">
      <c r="D1050" s="11"/>
      <c r="E1050" s="11"/>
      <c r="F1050" s="11"/>
      <c r="G1050" s="11"/>
    </row>
    <row r="1051" spans="4:7">
      <c r="D1051" s="11"/>
      <c r="E1051" s="11"/>
      <c r="F1051" s="11"/>
      <c r="G1051" s="11"/>
    </row>
    <row r="1052" spans="4:7">
      <c r="D1052" s="11"/>
      <c r="E1052" s="11"/>
      <c r="F1052" s="11"/>
      <c r="G1052" s="11"/>
    </row>
    <row r="1053" spans="4:7">
      <c r="D1053" s="11"/>
      <c r="E1053" s="11"/>
      <c r="F1053" s="11"/>
      <c r="G1053" s="11"/>
    </row>
    <row r="1054" spans="4:7">
      <c r="D1054" s="11"/>
      <c r="E1054" s="11"/>
      <c r="F1054" s="11"/>
      <c r="G1054" s="11"/>
    </row>
    <row r="1055" spans="4:7">
      <c r="D1055" s="11"/>
      <c r="E1055" s="11"/>
      <c r="F1055" s="11"/>
      <c r="G1055" s="11"/>
    </row>
    <row r="1056" spans="4:7">
      <c r="D1056" s="11"/>
      <c r="E1056" s="11"/>
      <c r="F1056" s="11"/>
      <c r="G1056" s="11"/>
    </row>
    <row r="1057" spans="4:7">
      <c r="D1057" s="11"/>
      <c r="E1057" s="11"/>
      <c r="F1057" s="11"/>
      <c r="G1057" s="11"/>
    </row>
    <row r="1058" spans="4:7">
      <c r="D1058" s="11"/>
      <c r="E1058" s="11"/>
      <c r="F1058" s="11"/>
      <c r="G1058" s="11"/>
    </row>
    <row r="1059" spans="4:7">
      <c r="D1059" s="11"/>
      <c r="E1059" s="11"/>
      <c r="F1059" s="11"/>
      <c r="G1059" s="11"/>
    </row>
    <row r="1060" spans="4:7">
      <c r="D1060" s="11"/>
      <c r="E1060" s="11"/>
      <c r="F1060" s="11"/>
      <c r="G1060" s="11"/>
    </row>
    <row r="1061" spans="4:7">
      <c r="D1061" s="11"/>
      <c r="E1061" s="11"/>
      <c r="F1061" s="11"/>
      <c r="G1061" s="11"/>
    </row>
    <row r="1062" spans="4:7">
      <c r="D1062" s="11"/>
      <c r="E1062" s="11"/>
      <c r="F1062" s="11"/>
      <c r="G1062" s="11"/>
    </row>
    <row r="1063" spans="4:7">
      <c r="D1063" s="11"/>
      <c r="E1063" s="11"/>
      <c r="F1063" s="11"/>
      <c r="G1063" s="11"/>
    </row>
    <row r="1064" spans="4:7">
      <c r="D1064" s="11"/>
      <c r="E1064" s="11"/>
      <c r="F1064" s="11"/>
      <c r="G1064" s="11"/>
    </row>
    <row r="1065" spans="4:7">
      <c r="D1065" s="11"/>
      <c r="E1065" s="11"/>
      <c r="F1065" s="11"/>
      <c r="G1065" s="11"/>
    </row>
    <row r="1066" spans="4:7">
      <c r="D1066" s="11"/>
      <c r="E1066" s="11"/>
      <c r="F1066" s="11"/>
      <c r="G1066" s="11"/>
    </row>
    <row r="1067" spans="4:7">
      <c r="D1067" s="11"/>
      <c r="E1067" s="11"/>
      <c r="F1067" s="11"/>
      <c r="G1067" s="11"/>
    </row>
    <row r="1068" spans="4:7">
      <c r="D1068" s="11"/>
      <c r="E1068" s="11"/>
      <c r="F1068" s="11"/>
      <c r="G1068" s="11"/>
    </row>
    <row r="1069" spans="4:7">
      <c r="D1069" s="11"/>
      <c r="E1069" s="11"/>
      <c r="F1069" s="11"/>
      <c r="G1069" s="11"/>
    </row>
    <row r="1070" spans="4:7">
      <c r="D1070" s="11"/>
      <c r="E1070" s="11"/>
      <c r="F1070" s="11"/>
      <c r="G1070" s="11"/>
    </row>
    <row r="1071" spans="4:7">
      <c r="D1071" s="11"/>
      <c r="E1071" s="11"/>
      <c r="F1071" s="11"/>
      <c r="G1071" s="11"/>
    </row>
    <row r="1072" spans="4:7">
      <c r="D1072" s="11"/>
      <c r="E1072" s="11"/>
      <c r="F1072" s="11"/>
      <c r="G1072" s="11"/>
    </row>
    <row r="1073" spans="4:7">
      <c r="D1073" s="11"/>
      <c r="E1073" s="11"/>
      <c r="F1073" s="11"/>
      <c r="G1073" s="11"/>
    </row>
    <row r="1074" spans="4:7">
      <c r="D1074" s="11"/>
      <c r="E1074" s="11"/>
      <c r="F1074" s="11"/>
      <c r="G1074" s="11"/>
    </row>
    <row r="1075" spans="4:7">
      <c r="D1075" s="11"/>
      <c r="E1075" s="11"/>
      <c r="F1075" s="11"/>
      <c r="G1075" s="11"/>
    </row>
    <row r="1076" spans="4:7">
      <c r="D1076" s="11"/>
      <c r="E1076" s="11"/>
      <c r="F1076" s="11"/>
      <c r="G1076" s="11"/>
    </row>
    <row r="1077" spans="4:7">
      <c r="D1077" s="11"/>
      <c r="E1077" s="11"/>
      <c r="F1077" s="11"/>
      <c r="G1077" s="11"/>
    </row>
    <row r="1078" spans="4:7">
      <c r="D1078" s="11"/>
      <c r="E1078" s="11"/>
      <c r="F1078" s="11"/>
      <c r="G1078" s="11"/>
    </row>
    <row r="1079" spans="4:7">
      <c r="D1079" s="11"/>
      <c r="E1079" s="11"/>
      <c r="F1079" s="11"/>
      <c r="G1079" s="11"/>
    </row>
    <row r="1080" spans="4:7">
      <c r="D1080" s="11"/>
      <c r="E1080" s="11"/>
      <c r="F1080" s="11"/>
      <c r="G1080" s="11"/>
    </row>
    <row r="1081" spans="4:7">
      <c r="D1081" s="11"/>
      <c r="E1081" s="11"/>
      <c r="F1081" s="11"/>
      <c r="G1081" s="11"/>
    </row>
    <row r="1082" spans="4:7">
      <c r="D1082" s="11"/>
      <c r="E1082" s="11"/>
      <c r="F1082" s="11"/>
      <c r="G1082" s="11"/>
    </row>
    <row r="1083" spans="4:7">
      <c r="D1083" s="11"/>
      <c r="E1083" s="11"/>
      <c r="F1083" s="11"/>
      <c r="G1083" s="11"/>
    </row>
    <row r="1084" spans="4:7">
      <c r="D1084" s="11"/>
      <c r="E1084" s="11"/>
      <c r="F1084" s="11"/>
      <c r="G1084" s="11"/>
    </row>
    <row r="1085" spans="4:7">
      <c r="D1085" s="11"/>
      <c r="E1085" s="11"/>
      <c r="F1085" s="11"/>
      <c r="G1085" s="11"/>
    </row>
    <row r="1086" spans="4:7">
      <c r="D1086" s="11"/>
      <c r="E1086" s="11"/>
      <c r="F1086" s="11"/>
      <c r="G1086" s="11"/>
    </row>
    <row r="1087" spans="4:7">
      <c r="D1087" s="11"/>
      <c r="E1087" s="11"/>
      <c r="F1087" s="11"/>
      <c r="G1087" s="11"/>
    </row>
    <row r="1088" spans="4:7">
      <c r="D1088" s="11"/>
      <c r="E1088" s="11"/>
      <c r="F1088" s="11"/>
      <c r="G1088" s="11"/>
    </row>
    <row r="1089" spans="4:7">
      <c r="D1089" s="11"/>
      <c r="E1089" s="11"/>
      <c r="F1089" s="11"/>
      <c r="G1089" s="11"/>
    </row>
    <row r="1090" spans="4:7">
      <c r="D1090" s="11"/>
      <c r="E1090" s="11"/>
      <c r="F1090" s="11"/>
      <c r="G1090" s="11"/>
    </row>
    <row r="1091" spans="4:7">
      <c r="D1091" s="11"/>
      <c r="E1091" s="11"/>
      <c r="F1091" s="11"/>
      <c r="G1091" s="11"/>
    </row>
    <row r="1092" spans="4:7">
      <c r="D1092" s="11"/>
      <c r="E1092" s="11"/>
      <c r="F1092" s="11"/>
      <c r="G1092" s="11"/>
    </row>
    <row r="1093" spans="4:7">
      <c r="D1093" s="11"/>
      <c r="E1093" s="11"/>
      <c r="F1093" s="11"/>
      <c r="G1093" s="11"/>
    </row>
    <row r="1094" spans="4:7">
      <c r="D1094" s="11"/>
      <c r="E1094" s="11"/>
      <c r="F1094" s="11"/>
      <c r="G1094" s="11"/>
    </row>
    <row r="1095" spans="4:7">
      <c r="D1095" s="11"/>
      <c r="E1095" s="11"/>
      <c r="F1095" s="11"/>
      <c r="G1095" s="11"/>
    </row>
    <row r="1096" spans="4:7">
      <c r="D1096" s="11"/>
      <c r="E1096" s="11"/>
      <c r="F1096" s="11"/>
      <c r="G1096" s="11"/>
    </row>
    <row r="1097" spans="4:7">
      <c r="D1097" s="11"/>
      <c r="E1097" s="11"/>
      <c r="F1097" s="11"/>
      <c r="G1097" s="11"/>
    </row>
    <row r="1098" spans="4:7">
      <c r="D1098" s="11"/>
      <c r="E1098" s="11"/>
      <c r="F1098" s="11"/>
      <c r="G1098" s="11"/>
    </row>
    <row r="1099" spans="4:7">
      <c r="D1099" s="11"/>
      <c r="E1099" s="11"/>
      <c r="F1099" s="11"/>
      <c r="G1099" s="11"/>
    </row>
    <row r="1100" spans="4:7">
      <c r="D1100" s="11"/>
      <c r="E1100" s="11"/>
      <c r="F1100" s="11"/>
      <c r="G1100" s="11"/>
    </row>
    <row r="1101" spans="4:7">
      <c r="D1101" s="11"/>
      <c r="E1101" s="11"/>
      <c r="F1101" s="11"/>
      <c r="G1101" s="11"/>
    </row>
    <row r="1102" spans="4:7">
      <c r="D1102" s="11"/>
      <c r="E1102" s="11"/>
      <c r="F1102" s="11"/>
      <c r="G1102" s="11"/>
    </row>
    <row r="1103" spans="4:7">
      <c r="D1103" s="11"/>
      <c r="E1103" s="11"/>
      <c r="F1103" s="11"/>
      <c r="G1103" s="11"/>
    </row>
    <row r="1104" spans="4:7">
      <c r="D1104" s="11"/>
      <c r="E1104" s="11"/>
      <c r="F1104" s="11"/>
      <c r="G1104" s="11"/>
    </row>
    <row r="1105" spans="4:7">
      <c r="D1105" s="11"/>
      <c r="E1105" s="11"/>
      <c r="F1105" s="11"/>
      <c r="G1105" s="11"/>
    </row>
    <row r="1106" spans="4:7">
      <c r="D1106" s="11"/>
      <c r="E1106" s="11"/>
      <c r="F1106" s="11"/>
      <c r="G1106" s="11"/>
    </row>
    <row r="1107" spans="4:7">
      <c r="D1107" s="11"/>
      <c r="E1107" s="11"/>
      <c r="F1107" s="11"/>
      <c r="G1107" s="11"/>
    </row>
    <row r="1108" spans="4:7">
      <c r="D1108" s="11"/>
      <c r="E1108" s="11"/>
      <c r="F1108" s="11"/>
      <c r="G1108" s="11"/>
    </row>
    <row r="1109" spans="4:7">
      <c r="D1109" s="11"/>
      <c r="E1109" s="11"/>
      <c r="F1109" s="11"/>
      <c r="G1109" s="11"/>
    </row>
    <row r="1110" spans="4:7">
      <c r="D1110" s="11"/>
      <c r="E1110" s="11"/>
      <c r="F1110" s="11"/>
      <c r="G1110" s="11"/>
    </row>
    <row r="1111" spans="4:7">
      <c r="D1111" s="11"/>
      <c r="E1111" s="11"/>
      <c r="F1111" s="11"/>
      <c r="G1111" s="11"/>
    </row>
    <row r="1112" spans="4:7">
      <c r="D1112" s="11"/>
      <c r="E1112" s="11"/>
      <c r="F1112" s="11"/>
      <c r="G1112" s="11"/>
    </row>
    <row r="1113" spans="4:7">
      <c r="D1113" s="11"/>
      <c r="E1113" s="11"/>
      <c r="F1113" s="11"/>
      <c r="G1113" s="11"/>
    </row>
    <row r="1114" spans="4:7">
      <c r="D1114" s="11"/>
      <c r="E1114" s="11"/>
      <c r="F1114" s="11"/>
      <c r="G1114" s="11"/>
    </row>
    <row r="1115" spans="4:7">
      <c r="D1115" s="11"/>
      <c r="E1115" s="11"/>
      <c r="F1115" s="11"/>
      <c r="G1115" s="11"/>
    </row>
    <row r="1116" spans="4:7">
      <c r="D1116" s="11"/>
      <c r="E1116" s="11"/>
      <c r="F1116" s="11"/>
      <c r="G1116" s="11"/>
    </row>
    <row r="1117" spans="4:7">
      <c r="D1117" s="11"/>
      <c r="E1117" s="11"/>
      <c r="F1117" s="11"/>
      <c r="G1117" s="11"/>
    </row>
    <row r="1118" spans="4:7">
      <c r="D1118" s="11"/>
      <c r="E1118" s="11"/>
      <c r="F1118" s="11"/>
      <c r="G1118" s="11"/>
    </row>
    <row r="1119" spans="4:7">
      <c r="D1119" s="11"/>
      <c r="E1119" s="11"/>
      <c r="F1119" s="11"/>
      <c r="G1119" s="11"/>
    </row>
    <row r="1120" spans="4:7">
      <c r="D1120" s="11"/>
      <c r="E1120" s="11"/>
      <c r="F1120" s="11"/>
      <c r="G1120" s="11"/>
    </row>
    <row r="1121" spans="4:7">
      <c r="D1121" s="11"/>
      <c r="E1121" s="11"/>
      <c r="F1121" s="11"/>
      <c r="G1121" s="11"/>
    </row>
    <row r="1122" spans="4:7">
      <c r="D1122" s="11"/>
      <c r="E1122" s="11"/>
      <c r="F1122" s="11"/>
      <c r="G1122" s="11"/>
    </row>
    <row r="1123" spans="4:7">
      <c r="D1123" s="11"/>
      <c r="E1123" s="11"/>
      <c r="F1123" s="11"/>
      <c r="G1123" s="11"/>
    </row>
    <row r="1124" spans="4:7">
      <c r="D1124" s="11"/>
      <c r="E1124" s="11"/>
      <c r="F1124" s="11"/>
      <c r="G1124" s="11"/>
    </row>
    <row r="1125" spans="4:7">
      <c r="D1125" s="11"/>
      <c r="E1125" s="11"/>
      <c r="F1125" s="11"/>
      <c r="G1125" s="11"/>
    </row>
    <row r="1126" spans="4:7">
      <c r="D1126" s="11"/>
      <c r="E1126" s="11"/>
      <c r="F1126" s="11"/>
      <c r="G1126" s="11"/>
    </row>
    <row r="1127" spans="4:7">
      <c r="D1127" s="11"/>
      <c r="E1127" s="11"/>
      <c r="F1127" s="11"/>
      <c r="G1127" s="11"/>
    </row>
    <row r="1128" spans="4:7">
      <c r="D1128" s="11"/>
      <c r="E1128" s="11"/>
      <c r="F1128" s="11"/>
      <c r="G1128" s="11"/>
    </row>
    <row r="1129" spans="4:7">
      <c r="D1129" s="11"/>
      <c r="E1129" s="11"/>
      <c r="F1129" s="11"/>
      <c r="G1129" s="11"/>
    </row>
    <row r="1130" spans="4:7">
      <c r="D1130" s="11"/>
      <c r="E1130" s="11"/>
      <c r="F1130" s="11"/>
      <c r="G1130" s="11"/>
    </row>
    <row r="1131" spans="4:7">
      <c r="D1131" s="11"/>
      <c r="E1131" s="11"/>
      <c r="F1131" s="11"/>
      <c r="G1131" s="11"/>
    </row>
    <row r="1132" spans="4:7">
      <c r="D1132" s="11"/>
      <c r="E1132" s="11"/>
      <c r="F1132" s="11"/>
      <c r="G1132" s="11"/>
    </row>
    <row r="1133" spans="4:7">
      <c r="D1133" s="11"/>
      <c r="E1133" s="11"/>
      <c r="F1133" s="11"/>
      <c r="G1133" s="11"/>
    </row>
    <row r="1134" spans="4:7">
      <c r="D1134" s="11"/>
      <c r="E1134" s="11"/>
      <c r="F1134" s="11"/>
      <c r="G1134" s="11"/>
    </row>
    <row r="1135" spans="4:7">
      <c r="D1135" s="11"/>
      <c r="E1135" s="11"/>
      <c r="F1135" s="11"/>
      <c r="G1135" s="11"/>
    </row>
    <row r="1136" spans="4:7">
      <c r="D1136" s="11"/>
      <c r="E1136" s="11"/>
      <c r="F1136" s="11"/>
      <c r="G1136" s="11"/>
    </row>
    <row r="1137" spans="4:7">
      <c r="D1137" s="11"/>
      <c r="E1137" s="11"/>
      <c r="F1137" s="11"/>
      <c r="G1137" s="11"/>
    </row>
    <row r="1138" spans="4:7">
      <c r="D1138" s="11"/>
      <c r="E1138" s="11"/>
      <c r="F1138" s="11"/>
      <c r="G1138" s="11"/>
    </row>
    <row r="1139" spans="4:7">
      <c r="D1139" s="11"/>
      <c r="E1139" s="11"/>
      <c r="F1139" s="11"/>
      <c r="G1139" s="11"/>
    </row>
    <row r="1140" spans="4:7">
      <c r="D1140" s="11"/>
      <c r="E1140" s="11"/>
      <c r="F1140" s="11"/>
      <c r="G1140" s="11"/>
    </row>
    <row r="1141" spans="4:7">
      <c r="D1141" s="11"/>
      <c r="E1141" s="11"/>
      <c r="F1141" s="11"/>
      <c r="G1141" s="11"/>
    </row>
    <row r="1142" spans="4:7">
      <c r="D1142" s="11"/>
      <c r="E1142" s="11"/>
      <c r="F1142" s="11"/>
      <c r="G1142" s="11"/>
    </row>
    <row r="1143" spans="4:7">
      <c r="D1143" s="11"/>
      <c r="E1143" s="11"/>
      <c r="F1143" s="11"/>
      <c r="G1143" s="11"/>
    </row>
    <row r="1144" spans="4:7">
      <c r="D1144" s="11"/>
      <c r="E1144" s="11"/>
      <c r="F1144" s="11"/>
      <c r="G1144" s="11"/>
    </row>
    <row r="1145" spans="4:7">
      <c r="D1145" s="11"/>
      <c r="E1145" s="11"/>
      <c r="F1145" s="11"/>
      <c r="G1145" s="11"/>
    </row>
    <row r="1146" spans="4:7">
      <c r="D1146" s="11"/>
      <c r="E1146" s="11"/>
      <c r="F1146" s="11"/>
      <c r="G1146" s="11"/>
    </row>
    <row r="1147" spans="4:7">
      <c r="D1147" s="11"/>
      <c r="E1147" s="11"/>
      <c r="F1147" s="11"/>
      <c r="G1147" s="11"/>
    </row>
    <row r="1148" spans="4:7">
      <c r="D1148" s="11"/>
      <c r="E1148" s="11"/>
      <c r="F1148" s="11"/>
      <c r="G1148" s="11"/>
    </row>
    <row r="1149" spans="4:7">
      <c r="D1149" s="11"/>
      <c r="E1149" s="11"/>
      <c r="F1149" s="11"/>
      <c r="G1149" s="11"/>
    </row>
    <row r="1150" spans="4:7">
      <c r="D1150" s="11"/>
      <c r="E1150" s="11"/>
      <c r="F1150" s="11"/>
      <c r="G1150" s="11"/>
    </row>
    <row r="1151" spans="4:7">
      <c r="D1151" s="11"/>
      <c r="E1151" s="11"/>
      <c r="F1151" s="11"/>
      <c r="G1151" s="11"/>
    </row>
    <row r="1152" spans="4:7">
      <c r="D1152" s="11"/>
      <c r="E1152" s="11"/>
      <c r="F1152" s="11"/>
      <c r="G1152" s="11"/>
    </row>
    <row r="1153" spans="4:7">
      <c r="D1153" s="11"/>
      <c r="E1153" s="11"/>
      <c r="F1153" s="11"/>
      <c r="G1153" s="11"/>
    </row>
    <row r="1154" spans="4:7">
      <c r="D1154" s="11"/>
      <c r="E1154" s="11"/>
      <c r="F1154" s="11"/>
      <c r="G1154" s="11"/>
    </row>
    <row r="1155" spans="4:7">
      <c r="D1155" s="11"/>
      <c r="E1155" s="11"/>
      <c r="F1155" s="11"/>
      <c r="G1155" s="11"/>
    </row>
    <row r="1156" spans="4:7">
      <c r="D1156" s="11"/>
      <c r="E1156" s="11"/>
      <c r="F1156" s="11"/>
      <c r="G1156" s="11"/>
    </row>
    <row r="1157" spans="4:7">
      <c r="D1157" s="11"/>
      <c r="E1157" s="11"/>
      <c r="F1157" s="11"/>
      <c r="G1157" s="11"/>
    </row>
    <row r="1158" spans="4:7">
      <c r="D1158" s="11"/>
      <c r="E1158" s="11"/>
      <c r="F1158" s="11"/>
      <c r="G1158" s="11"/>
    </row>
    <row r="1159" spans="4:7">
      <c r="D1159" s="11"/>
      <c r="E1159" s="11"/>
      <c r="F1159" s="11"/>
      <c r="G1159" s="11"/>
    </row>
    <row r="1160" spans="4:7">
      <c r="D1160" s="11"/>
      <c r="E1160" s="11"/>
      <c r="F1160" s="11"/>
      <c r="G1160" s="11"/>
    </row>
    <row r="1161" spans="4:7">
      <c r="D1161" s="11"/>
      <c r="E1161" s="11"/>
      <c r="F1161" s="11"/>
      <c r="G1161" s="11"/>
    </row>
    <row r="1162" spans="4:7">
      <c r="D1162" s="11"/>
      <c r="E1162" s="11"/>
      <c r="F1162" s="11"/>
      <c r="G1162" s="11"/>
    </row>
    <row r="1163" spans="4:7">
      <c r="D1163" s="11"/>
      <c r="E1163" s="11"/>
      <c r="F1163" s="11"/>
      <c r="G1163" s="11"/>
    </row>
    <row r="1164" spans="4:7">
      <c r="D1164" s="11"/>
      <c r="E1164" s="11"/>
      <c r="F1164" s="11"/>
      <c r="G1164" s="11"/>
    </row>
    <row r="1165" spans="4:7">
      <c r="D1165" s="11"/>
      <c r="E1165" s="11"/>
      <c r="F1165" s="11"/>
      <c r="G1165" s="11"/>
    </row>
    <row r="1166" spans="4:7">
      <c r="D1166" s="11"/>
      <c r="E1166" s="11"/>
      <c r="F1166" s="11"/>
      <c r="G1166" s="11"/>
    </row>
    <row r="1167" spans="4:7">
      <c r="D1167" s="11"/>
      <c r="E1167" s="11"/>
      <c r="F1167" s="11"/>
      <c r="G1167" s="11"/>
    </row>
    <row r="1168" spans="4:7">
      <c r="D1168" s="11"/>
      <c r="E1168" s="11"/>
      <c r="F1168" s="11"/>
      <c r="G1168" s="11"/>
    </row>
    <row r="1169" spans="4:7">
      <c r="D1169" s="11"/>
      <c r="E1169" s="11"/>
      <c r="F1169" s="11"/>
      <c r="G1169" s="11"/>
    </row>
    <row r="1170" spans="4:7">
      <c r="D1170" s="11"/>
      <c r="E1170" s="11"/>
      <c r="F1170" s="11"/>
      <c r="G1170" s="11"/>
    </row>
    <row r="1171" spans="4:7">
      <c r="D1171" s="11"/>
      <c r="E1171" s="11"/>
      <c r="F1171" s="11"/>
      <c r="G1171" s="11"/>
    </row>
    <row r="1172" spans="4:7">
      <c r="D1172" s="11"/>
      <c r="E1172" s="11"/>
      <c r="F1172" s="11"/>
      <c r="G1172" s="11"/>
    </row>
    <row r="1173" spans="4:7">
      <c r="D1173" s="11"/>
      <c r="E1173" s="11"/>
      <c r="F1173" s="11"/>
      <c r="G1173" s="11"/>
    </row>
    <row r="1174" spans="4:7">
      <c r="D1174" s="11"/>
      <c r="E1174" s="11"/>
      <c r="F1174" s="11"/>
      <c r="G1174" s="11"/>
    </row>
    <row r="1175" spans="4:7">
      <c r="D1175" s="11"/>
      <c r="E1175" s="11"/>
      <c r="F1175" s="11"/>
      <c r="G1175" s="11"/>
    </row>
    <row r="1176" spans="4:7">
      <c r="D1176" s="11"/>
      <c r="E1176" s="11"/>
      <c r="F1176" s="11"/>
      <c r="G1176" s="11"/>
    </row>
    <row r="1177" spans="4:7">
      <c r="D1177" s="11"/>
      <c r="E1177" s="11"/>
      <c r="F1177" s="11"/>
      <c r="G1177" s="11"/>
    </row>
    <row r="1178" spans="4:7">
      <c r="D1178" s="11"/>
      <c r="E1178" s="11"/>
      <c r="F1178" s="11"/>
      <c r="G1178" s="11"/>
    </row>
    <row r="1179" spans="4:7">
      <c r="D1179" s="11"/>
      <c r="E1179" s="11"/>
      <c r="F1179" s="11"/>
      <c r="G1179" s="11"/>
    </row>
    <row r="1180" spans="4:7">
      <c r="D1180" s="11"/>
      <c r="E1180" s="11"/>
      <c r="F1180" s="11"/>
      <c r="G1180" s="11"/>
    </row>
    <row r="1181" spans="4:7">
      <c r="D1181" s="11"/>
      <c r="E1181" s="11"/>
      <c r="F1181" s="11"/>
      <c r="G1181" s="11"/>
    </row>
    <row r="1182" spans="4:7">
      <c r="D1182" s="11"/>
      <c r="E1182" s="11"/>
      <c r="F1182" s="11"/>
      <c r="G1182" s="11"/>
    </row>
    <row r="1183" spans="4:7">
      <c r="D1183" s="11"/>
      <c r="E1183" s="11"/>
      <c r="F1183" s="11"/>
      <c r="G1183" s="11"/>
    </row>
    <row r="1184" spans="4:7">
      <c r="D1184" s="11"/>
      <c r="E1184" s="11"/>
      <c r="F1184" s="11"/>
      <c r="G1184" s="11"/>
    </row>
    <row r="1185" spans="4:7">
      <c r="D1185" s="11"/>
      <c r="E1185" s="11"/>
      <c r="F1185" s="11"/>
      <c r="G1185" s="11"/>
    </row>
    <row r="1186" spans="4:7">
      <c r="D1186" s="11"/>
      <c r="E1186" s="11"/>
      <c r="F1186" s="11"/>
      <c r="G1186" s="11"/>
    </row>
    <row r="1187" spans="4:7">
      <c r="D1187" s="11"/>
      <c r="E1187" s="11"/>
      <c r="F1187" s="11"/>
      <c r="G1187" s="11"/>
    </row>
    <row r="1188" spans="4:7">
      <c r="D1188" s="11"/>
      <c r="E1188" s="11"/>
      <c r="F1188" s="11"/>
      <c r="G1188" s="11"/>
    </row>
    <row r="1189" spans="4:7">
      <c r="D1189" s="11"/>
      <c r="E1189" s="11"/>
      <c r="F1189" s="11"/>
      <c r="G1189" s="11"/>
    </row>
    <row r="1190" spans="4:7">
      <c r="D1190" s="11"/>
      <c r="E1190" s="11"/>
      <c r="F1190" s="11"/>
      <c r="G1190" s="11"/>
    </row>
    <row r="1191" spans="4:7">
      <c r="D1191" s="11"/>
      <c r="E1191" s="11"/>
      <c r="F1191" s="11"/>
      <c r="G1191" s="11"/>
    </row>
    <row r="1192" spans="4:7">
      <c r="D1192" s="11"/>
      <c r="E1192" s="11"/>
      <c r="F1192" s="11"/>
      <c r="G1192" s="11"/>
    </row>
    <row r="1193" spans="4:7">
      <c r="D1193" s="11"/>
      <c r="E1193" s="11"/>
      <c r="F1193" s="11"/>
      <c r="G1193" s="11"/>
    </row>
    <row r="1194" spans="4:7">
      <c r="D1194" s="11"/>
      <c r="E1194" s="11"/>
      <c r="F1194" s="11"/>
      <c r="G1194" s="11"/>
    </row>
    <row r="1195" spans="4:7">
      <c r="D1195" s="11"/>
      <c r="E1195" s="11"/>
      <c r="F1195" s="11"/>
      <c r="G1195" s="11"/>
    </row>
    <row r="1196" spans="4:7">
      <c r="D1196" s="11"/>
      <c r="E1196" s="11"/>
      <c r="F1196" s="11"/>
      <c r="G1196" s="11"/>
    </row>
    <row r="1197" spans="4:7">
      <c r="D1197" s="11"/>
      <c r="E1197" s="11"/>
      <c r="F1197" s="11"/>
      <c r="G1197" s="11"/>
    </row>
    <row r="1198" spans="4:7">
      <c r="D1198" s="11"/>
      <c r="E1198" s="11"/>
      <c r="F1198" s="11"/>
      <c r="G1198" s="11"/>
    </row>
    <row r="1199" spans="4:7">
      <c r="D1199" s="11"/>
      <c r="E1199" s="11"/>
      <c r="F1199" s="11"/>
      <c r="G1199" s="11"/>
    </row>
    <row r="1200" spans="4:7">
      <c r="D1200" s="11"/>
      <c r="E1200" s="11"/>
      <c r="F1200" s="11"/>
      <c r="G1200" s="11"/>
    </row>
    <row r="1201" spans="4:7">
      <c r="D1201" s="11"/>
      <c r="E1201" s="11"/>
      <c r="F1201" s="11"/>
      <c r="G1201" s="11"/>
    </row>
    <row r="1202" spans="4:7">
      <c r="D1202" s="11"/>
      <c r="E1202" s="11"/>
      <c r="F1202" s="11"/>
      <c r="G1202" s="11"/>
    </row>
    <row r="1203" spans="4:7">
      <c r="D1203" s="11"/>
      <c r="E1203" s="11"/>
      <c r="F1203" s="11"/>
      <c r="G1203" s="11"/>
    </row>
    <row r="1204" spans="4:7">
      <c r="D1204" s="11"/>
      <c r="E1204" s="11"/>
      <c r="F1204" s="11"/>
      <c r="G1204" s="11"/>
    </row>
    <row r="1205" spans="4:7">
      <c r="D1205" s="11"/>
      <c r="E1205" s="11"/>
      <c r="F1205" s="11"/>
      <c r="G1205" s="11"/>
    </row>
    <row r="1206" spans="4:7">
      <c r="D1206" s="11"/>
      <c r="E1206" s="11"/>
      <c r="F1206" s="11"/>
      <c r="G1206" s="11"/>
    </row>
    <row r="1207" spans="4:7">
      <c r="D1207" s="11"/>
      <c r="E1207" s="11"/>
      <c r="F1207" s="11"/>
      <c r="G1207" s="11"/>
    </row>
    <row r="1208" spans="4:7">
      <c r="D1208" s="11"/>
      <c r="E1208" s="11"/>
      <c r="F1208" s="11"/>
      <c r="G1208" s="11"/>
    </row>
    <row r="1209" spans="4:7">
      <c r="D1209" s="11"/>
      <c r="E1209" s="11"/>
      <c r="F1209" s="11"/>
      <c r="G1209" s="11"/>
    </row>
    <row r="1210" spans="4:7">
      <c r="D1210" s="11"/>
      <c r="E1210" s="11"/>
      <c r="F1210" s="11"/>
      <c r="G1210" s="11"/>
    </row>
    <row r="1211" spans="4:7">
      <c r="D1211" s="11"/>
      <c r="E1211" s="11"/>
      <c r="F1211" s="11"/>
      <c r="G1211" s="11"/>
    </row>
    <row r="1212" spans="4:7">
      <c r="D1212" s="11"/>
      <c r="E1212" s="11"/>
      <c r="F1212" s="11"/>
      <c r="G1212" s="11"/>
    </row>
    <row r="1213" spans="4:7">
      <c r="D1213" s="11"/>
      <c r="E1213" s="11"/>
      <c r="F1213" s="11"/>
      <c r="G1213" s="11"/>
    </row>
    <row r="1214" spans="4:7">
      <c r="D1214" s="11"/>
      <c r="E1214" s="11"/>
      <c r="F1214" s="11"/>
      <c r="G1214" s="11"/>
    </row>
    <row r="1215" spans="4:7">
      <c r="D1215" s="11"/>
      <c r="E1215" s="11"/>
      <c r="F1215" s="11"/>
      <c r="G1215" s="11"/>
    </row>
    <row r="1216" spans="4:7">
      <c r="D1216" s="11"/>
      <c r="E1216" s="11"/>
      <c r="F1216" s="11"/>
      <c r="G1216" s="11"/>
    </row>
    <row r="1217" spans="4:7">
      <c r="D1217" s="11"/>
      <c r="E1217" s="11"/>
      <c r="F1217" s="11"/>
      <c r="G1217" s="11"/>
    </row>
    <row r="1218" spans="4:7">
      <c r="D1218" s="11"/>
      <c r="E1218" s="11"/>
      <c r="F1218" s="11"/>
      <c r="G1218" s="11"/>
    </row>
    <row r="1219" spans="4:7">
      <c r="D1219" s="11"/>
      <c r="E1219" s="11"/>
      <c r="F1219" s="11"/>
      <c r="G1219" s="11"/>
    </row>
    <row r="1220" spans="4:7">
      <c r="D1220" s="11"/>
      <c r="E1220" s="11"/>
      <c r="F1220" s="11"/>
      <c r="G1220" s="11"/>
    </row>
    <row r="1221" spans="4:7">
      <c r="D1221" s="11"/>
      <c r="E1221" s="11"/>
      <c r="F1221" s="11"/>
      <c r="G1221" s="11"/>
    </row>
    <row r="1222" spans="4:7">
      <c r="D1222" s="11"/>
      <c r="E1222" s="11"/>
      <c r="F1222" s="11"/>
      <c r="G1222" s="11"/>
    </row>
    <row r="1223" spans="4:7">
      <c r="D1223" s="11"/>
      <c r="E1223" s="11"/>
      <c r="F1223" s="11"/>
      <c r="G1223" s="11"/>
    </row>
    <row r="1224" spans="4:7">
      <c r="D1224" s="11"/>
      <c r="E1224" s="11"/>
      <c r="F1224" s="11"/>
      <c r="G1224" s="11"/>
    </row>
    <row r="1225" spans="4:7">
      <c r="D1225" s="11"/>
      <c r="E1225" s="11"/>
      <c r="F1225" s="11"/>
      <c r="G1225" s="11"/>
    </row>
    <row r="1226" spans="4:7">
      <c r="D1226" s="11"/>
      <c r="E1226" s="11"/>
      <c r="F1226" s="11"/>
      <c r="G1226" s="11"/>
    </row>
    <row r="1227" spans="4:7">
      <c r="D1227" s="11"/>
      <c r="E1227" s="11"/>
      <c r="F1227" s="11"/>
      <c r="G1227" s="11"/>
    </row>
    <row r="1228" spans="4:7">
      <c r="D1228" s="11"/>
      <c r="E1228" s="11"/>
      <c r="F1228" s="11"/>
      <c r="G1228" s="11"/>
    </row>
    <row r="1229" spans="4:7">
      <c r="D1229" s="11"/>
      <c r="E1229" s="11"/>
      <c r="F1229" s="11"/>
      <c r="G1229" s="11"/>
    </row>
    <row r="1230" spans="4:7">
      <c r="D1230" s="11"/>
      <c r="E1230" s="11"/>
      <c r="F1230" s="11"/>
      <c r="G1230" s="11"/>
    </row>
    <row r="1231" spans="4:7">
      <c r="D1231" s="11"/>
      <c r="E1231" s="11"/>
      <c r="F1231" s="11"/>
      <c r="G1231" s="11"/>
    </row>
    <row r="1232" spans="4:7">
      <c r="D1232" s="11"/>
      <c r="E1232" s="11"/>
      <c r="F1232" s="11"/>
      <c r="G1232" s="11"/>
    </row>
    <row r="1233" spans="4:7">
      <c r="D1233" s="11"/>
      <c r="E1233" s="11"/>
      <c r="F1233" s="11"/>
      <c r="G1233" s="11"/>
    </row>
    <row r="1234" spans="4:7">
      <c r="D1234" s="11"/>
      <c r="E1234" s="11"/>
      <c r="F1234" s="11"/>
      <c r="G1234" s="11"/>
    </row>
    <row r="1235" spans="4:7">
      <c r="D1235" s="11"/>
      <c r="E1235" s="11"/>
      <c r="F1235" s="11"/>
      <c r="G1235" s="11"/>
    </row>
    <row r="1236" spans="4:7">
      <c r="D1236" s="11"/>
      <c r="E1236" s="11"/>
      <c r="F1236" s="11"/>
      <c r="G1236" s="11"/>
    </row>
    <row r="1237" spans="4:7">
      <c r="D1237" s="11"/>
      <c r="E1237" s="11"/>
      <c r="F1237" s="11"/>
      <c r="G1237" s="11"/>
    </row>
    <row r="1238" spans="4:7">
      <c r="D1238" s="11"/>
      <c r="E1238" s="11"/>
      <c r="F1238" s="11"/>
      <c r="G1238" s="11"/>
    </row>
    <row r="1239" spans="4:7">
      <c r="D1239" s="11"/>
      <c r="E1239" s="11"/>
      <c r="F1239" s="11"/>
      <c r="G1239" s="11"/>
    </row>
    <row r="1240" spans="4:7">
      <c r="D1240" s="11"/>
      <c r="E1240" s="11"/>
      <c r="F1240" s="11"/>
      <c r="G1240" s="11"/>
    </row>
    <row r="1241" spans="4:7">
      <c r="D1241" s="11"/>
      <c r="E1241" s="11"/>
      <c r="F1241" s="11"/>
      <c r="G1241" s="11"/>
    </row>
    <row r="1242" spans="4:7">
      <c r="D1242" s="11"/>
      <c r="E1242" s="11"/>
      <c r="F1242" s="11"/>
      <c r="G1242" s="11"/>
    </row>
    <row r="1243" spans="4:7">
      <c r="D1243" s="11"/>
      <c r="E1243" s="11"/>
      <c r="F1243" s="11"/>
      <c r="G1243" s="11"/>
    </row>
    <row r="1244" spans="4:7">
      <c r="D1244" s="11"/>
      <c r="E1244" s="11"/>
      <c r="F1244" s="11"/>
      <c r="G1244" s="11"/>
    </row>
    <row r="1245" spans="4:7">
      <c r="D1245" s="11"/>
      <c r="E1245" s="11"/>
      <c r="F1245" s="11"/>
      <c r="G1245" s="11"/>
    </row>
    <row r="1246" spans="4:7">
      <c r="D1246" s="11"/>
      <c r="E1246" s="11"/>
      <c r="F1246" s="11"/>
      <c r="G1246" s="11"/>
    </row>
    <row r="1247" spans="4:7">
      <c r="D1247" s="11"/>
      <c r="E1247" s="11"/>
      <c r="F1247" s="11"/>
      <c r="G1247" s="11"/>
    </row>
    <row r="1248" spans="4:7">
      <c r="D1248" s="11"/>
      <c r="E1248" s="11"/>
      <c r="F1248" s="11"/>
      <c r="G1248" s="11"/>
    </row>
    <row r="1249" spans="4:7">
      <c r="D1249" s="11"/>
      <c r="E1249" s="11"/>
      <c r="F1249" s="11"/>
      <c r="G1249" s="11"/>
    </row>
    <row r="1250" spans="4:7">
      <c r="D1250" s="11"/>
      <c r="E1250" s="11"/>
      <c r="F1250" s="11"/>
      <c r="G1250" s="11"/>
    </row>
    <row r="1251" spans="4:7">
      <c r="D1251" s="11"/>
      <c r="E1251" s="11"/>
      <c r="F1251" s="11"/>
      <c r="G1251" s="11"/>
    </row>
    <row r="1252" spans="4:7">
      <c r="D1252" s="11"/>
      <c r="E1252" s="11"/>
      <c r="F1252" s="11"/>
      <c r="G1252" s="11"/>
    </row>
    <row r="1253" spans="4:7">
      <c r="D1253" s="11"/>
      <c r="E1253" s="11"/>
      <c r="F1253" s="11"/>
      <c r="G1253" s="11"/>
    </row>
    <row r="1254" spans="4:7">
      <c r="D1254" s="11"/>
      <c r="E1254" s="11"/>
      <c r="F1254" s="11"/>
      <c r="G1254" s="11"/>
    </row>
    <row r="1255" spans="4:7">
      <c r="D1255" s="11"/>
      <c r="E1255" s="11"/>
      <c r="F1255" s="11"/>
      <c r="G1255" s="11"/>
    </row>
    <row r="1256" spans="4:7">
      <c r="D1256" s="11"/>
      <c r="E1256" s="11"/>
      <c r="F1256" s="11"/>
      <c r="G1256" s="11"/>
    </row>
    <row r="1257" spans="4:7">
      <c r="D1257" s="11"/>
      <c r="E1257" s="11"/>
      <c r="F1257" s="11"/>
      <c r="G1257" s="11"/>
    </row>
    <row r="1258" spans="4:7">
      <c r="D1258" s="11"/>
      <c r="E1258" s="11"/>
      <c r="F1258" s="11"/>
      <c r="G1258" s="11"/>
    </row>
    <row r="1259" spans="4:7">
      <c r="D1259" s="11"/>
      <c r="E1259" s="11"/>
      <c r="F1259" s="11"/>
      <c r="G1259" s="11"/>
    </row>
    <row r="1260" spans="4:7">
      <c r="D1260" s="11"/>
      <c r="E1260" s="11"/>
      <c r="F1260" s="11"/>
      <c r="G1260" s="11"/>
    </row>
    <row r="1261" spans="4:7">
      <c r="D1261" s="11"/>
      <c r="E1261" s="11"/>
      <c r="F1261" s="11"/>
      <c r="G1261" s="11"/>
    </row>
    <row r="1262" spans="4:7">
      <c r="D1262" s="11"/>
      <c r="E1262" s="11"/>
      <c r="F1262" s="11"/>
      <c r="G1262" s="11"/>
    </row>
    <row r="1263" spans="4:7">
      <c r="D1263" s="11"/>
      <c r="E1263" s="11"/>
      <c r="F1263" s="11"/>
      <c r="G1263" s="11"/>
    </row>
    <row r="1264" spans="4:7">
      <c r="D1264" s="11"/>
      <c r="E1264" s="11"/>
      <c r="F1264" s="11"/>
      <c r="G1264" s="11"/>
    </row>
    <row r="1265" spans="4:7">
      <c r="D1265" s="11"/>
      <c r="E1265" s="11"/>
      <c r="F1265" s="11"/>
      <c r="G1265" s="11"/>
    </row>
    <row r="1266" spans="4:7">
      <c r="D1266" s="11"/>
      <c r="E1266" s="11"/>
      <c r="F1266" s="11"/>
      <c r="G1266" s="11"/>
    </row>
    <row r="1267" spans="4:7">
      <c r="D1267" s="11"/>
      <c r="E1267" s="11"/>
      <c r="F1267" s="11"/>
      <c r="G1267" s="11"/>
    </row>
    <row r="1268" spans="4:7">
      <c r="D1268" s="11"/>
      <c r="E1268" s="11"/>
      <c r="F1268" s="11"/>
      <c r="G1268" s="11"/>
    </row>
    <row r="1269" spans="4:7">
      <c r="D1269" s="11"/>
      <c r="E1269" s="11"/>
      <c r="F1269" s="11"/>
      <c r="G1269" s="11"/>
    </row>
    <row r="1270" spans="4:7">
      <c r="D1270" s="11"/>
      <c r="E1270" s="11"/>
      <c r="F1270" s="11"/>
      <c r="G1270" s="11"/>
    </row>
    <row r="1271" spans="4:7">
      <c r="D1271" s="11"/>
      <c r="E1271" s="11"/>
      <c r="F1271" s="11"/>
      <c r="G1271" s="11"/>
    </row>
    <row r="1272" spans="4:7">
      <c r="D1272" s="11"/>
      <c r="E1272" s="11"/>
      <c r="F1272" s="11"/>
      <c r="G1272" s="11"/>
    </row>
    <row r="1273" spans="4:7">
      <c r="D1273" s="11"/>
      <c r="E1273" s="11"/>
      <c r="F1273" s="11"/>
      <c r="G1273" s="11"/>
    </row>
    <row r="1274" spans="4:7">
      <c r="D1274" s="11"/>
      <c r="E1274" s="11"/>
      <c r="F1274" s="11"/>
      <c r="G1274" s="11"/>
    </row>
    <row r="1275" spans="4:7">
      <c r="D1275" s="11"/>
      <c r="E1275" s="11"/>
      <c r="F1275" s="11"/>
      <c r="G1275" s="11"/>
    </row>
    <row r="1276" spans="4:7">
      <c r="D1276" s="11"/>
      <c r="E1276" s="11"/>
      <c r="F1276" s="11"/>
      <c r="G1276" s="11"/>
    </row>
    <row r="1277" spans="4:7">
      <c r="D1277" s="11"/>
      <c r="E1277" s="11"/>
      <c r="F1277" s="11"/>
      <c r="G1277" s="11"/>
    </row>
    <row r="1278" spans="4:7">
      <c r="D1278" s="11"/>
      <c r="E1278" s="11"/>
      <c r="F1278" s="11"/>
      <c r="G1278" s="11"/>
    </row>
    <row r="1279" spans="4:7">
      <c r="D1279" s="11"/>
      <c r="E1279" s="11"/>
      <c r="F1279" s="11"/>
      <c r="G1279" s="11"/>
    </row>
    <row r="1280" spans="4:7">
      <c r="D1280" s="11"/>
      <c r="E1280" s="11"/>
      <c r="F1280" s="11"/>
      <c r="G1280" s="11"/>
    </row>
    <row r="1281" spans="4:7">
      <c r="D1281" s="11"/>
      <c r="E1281" s="11"/>
      <c r="F1281" s="11"/>
      <c r="G1281" s="11"/>
    </row>
    <row r="1282" spans="4:7">
      <c r="D1282" s="11"/>
      <c r="E1282" s="11"/>
      <c r="F1282" s="11"/>
      <c r="G1282" s="11"/>
    </row>
    <row r="1283" spans="4:7">
      <c r="D1283" s="11"/>
      <c r="E1283" s="11"/>
      <c r="F1283" s="11"/>
      <c r="G1283" s="11"/>
    </row>
    <row r="1284" spans="4:7">
      <c r="D1284" s="11"/>
      <c r="E1284" s="11"/>
      <c r="F1284" s="11"/>
      <c r="G1284" s="11"/>
    </row>
    <row r="1285" spans="4:7">
      <c r="D1285" s="11"/>
      <c r="E1285" s="11"/>
      <c r="F1285" s="11"/>
      <c r="G1285" s="11"/>
    </row>
    <row r="1286" spans="4:7">
      <c r="D1286" s="11"/>
      <c r="E1286" s="11"/>
      <c r="F1286" s="11"/>
      <c r="G1286" s="11"/>
    </row>
    <row r="1287" spans="4:7">
      <c r="D1287" s="11"/>
      <c r="E1287" s="11"/>
      <c r="F1287" s="11"/>
      <c r="G1287" s="11"/>
    </row>
    <row r="1288" spans="4:7">
      <c r="D1288" s="11"/>
      <c r="E1288" s="11"/>
      <c r="F1288" s="11"/>
      <c r="G1288" s="11"/>
    </row>
    <row r="1289" spans="4:7">
      <c r="D1289" s="11"/>
      <c r="E1289" s="11"/>
      <c r="F1289" s="11"/>
      <c r="G1289" s="11"/>
    </row>
    <row r="1290" spans="4:7">
      <c r="D1290" s="11"/>
      <c r="E1290" s="11"/>
      <c r="F1290" s="11"/>
      <c r="G1290" s="11"/>
    </row>
    <row r="1291" spans="4:7">
      <c r="D1291" s="11"/>
      <c r="E1291" s="11"/>
      <c r="F1291" s="11"/>
      <c r="G1291" s="11"/>
    </row>
    <row r="1292" spans="4:7">
      <c r="D1292" s="11"/>
      <c r="E1292" s="11"/>
      <c r="F1292" s="11"/>
      <c r="G1292" s="11"/>
    </row>
    <row r="1293" spans="4:7">
      <c r="D1293" s="11"/>
      <c r="E1293" s="11"/>
      <c r="F1293" s="11"/>
      <c r="G1293" s="11"/>
    </row>
    <row r="1294" spans="4:7">
      <c r="D1294" s="11"/>
      <c r="E1294" s="11"/>
      <c r="F1294" s="11"/>
      <c r="G1294" s="11"/>
    </row>
    <row r="1295" spans="4:7">
      <c r="D1295" s="11"/>
      <c r="E1295" s="11"/>
      <c r="F1295" s="11"/>
      <c r="G1295" s="11"/>
    </row>
    <row r="1296" spans="4:7">
      <c r="D1296" s="11"/>
      <c r="E1296" s="11"/>
      <c r="F1296" s="11"/>
      <c r="G1296" s="11"/>
    </row>
    <row r="1297" spans="4:7">
      <c r="D1297" s="11"/>
      <c r="E1297" s="11"/>
      <c r="F1297" s="11"/>
      <c r="G1297" s="11"/>
    </row>
    <row r="1298" spans="4:7">
      <c r="D1298" s="11"/>
      <c r="E1298" s="11"/>
      <c r="F1298" s="11"/>
      <c r="G1298" s="11"/>
    </row>
    <row r="1299" spans="4:7">
      <c r="D1299" s="11"/>
      <c r="E1299" s="11"/>
      <c r="F1299" s="11"/>
      <c r="G1299" s="11"/>
    </row>
    <row r="1300" spans="4:7">
      <c r="D1300" s="11"/>
      <c r="E1300" s="11"/>
      <c r="F1300" s="11"/>
      <c r="G1300" s="11"/>
    </row>
    <row r="1301" spans="4:7">
      <c r="D1301" s="11"/>
      <c r="E1301" s="11"/>
      <c r="F1301" s="11"/>
      <c r="G1301" s="11"/>
    </row>
    <row r="1302" spans="4:7">
      <c r="D1302" s="11"/>
      <c r="E1302" s="11"/>
      <c r="F1302" s="11"/>
      <c r="G1302" s="11"/>
    </row>
    <row r="1303" spans="4:7">
      <c r="D1303" s="11"/>
      <c r="E1303" s="11"/>
      <c r="F1303" s="11"/>
      <c r="G1303" s="11"/>
    </row>
    <row r="1304" spans="4:7">
      <c r="D1304" s="11"/>
      <c r="E1304" s="11"/>
      <c r="F1304" s="11"/>
      <c r="G1304" s="11"/>
    </row>
    <row r="1305" spans="4:7">
      <c r="D1305" s="11"/>
      <c r="E1305" s="11"/>
      <c r="F1305" s="11"/>
      <c r="G1305" s="11"/>
    </row>
    <row r="1306" spans="4:7">
      <c r="D1306" s="11"/>
      <c r="E1306" s="11"/>
      <c r="F1306" s="11"/>
      <c r="G1306" s="11"/>
    </row>
    <row r="1307" spans="4:7">
      <c r="D1307" s="11"/>
      <c r="E1307" s="11"/>
      <c r="F1307" s="11"/>
      <c r="G1307" s="11"/>
    </row>
    <row r="1308" spans="4:7">
      <c r="D1308" s="11"/>
      <c r="E1308" s="11"/>
      <c r="F1308" s="11"/>
      <c r="G1308" s="11"/>
    </row>
    <row r="1309" spans="4:7">
      <c r="D1309" s="11"/>
      <c r="E1309" s="11"/>
      <c r="F1309" s="11"/>
      <c r="G1309" s="11"/>
    </row>
    <row r="1310" spans="4:7">
      <c r="D1310" s="11"/>
      <c r="E1310" s="11"/>
      <c r="F1310" s="11"/>
      <c r="G1310" s="11"/>
    </row>
    <row r="1311" spans="4:7">
      <c r="D1311" s="11"/>
      <c r="E1311" s="11"/>
      <c r="F1311" s="11"/>
      <c r="G1311" s="11"/>
    </row>
    <row r="1312" spans="4:7">
      <c r="D1312" s="11"/>
      <c r="E1312" s="11"/>
      <c r="F1312" s="11"/>
      <c r="G1312" s="11"/>
    </row>
    <row r="1313" spans="4:7">
      <c r="D1313" s="11"/>
      <c r="E1313" s="11"/>
      <c r="F1313" s="11"/>
      <c r="G1313" s="11"/>
    </row>
    <row r="1314" spans="4:7">
      <c r="D1314" s="11"/>
      <c r="E1314" s="11"/>
      <c r="F1314" s="11"/>
      <c r="G1314" s="11"/>
    </row>
    <row r="1315" spans="4:7">
      <c r="D1315" s="11"/>
      <c r="E1315" s="11"/>
      <c r="F1315" s="11"/>
      <c r="G1315" s="11"/>
    </row>
    <row r="1316" spans="4:7">
      <c r="D1316" s="11"/>
      <c r="E1316" s="11"/>
      <c r="F1316" s="11"/>
      <c r="G1316" s="11"/>
    </row>
    <row r="1317" spans="4:7">
      <c r="D1317" s="11"/>
      <c r="E1317" s="11"/>
      <c r="F1317" s="11"/>
      <c r="G1317" s="11"/>
    </row>
    <row r="1318" spans="4:7">
      <c r="D1318" s="11"/>
      <c r="E1318" s="11"/>
      <c r="F1318" s="11"/>
      <c r="G1318" s="11"/>
    </row>
    <row r="1319" spans="4:7">
      <c r="D1319" s="11"/>
      <c r="E1319" s="11"/>
      <c r="F1319" s="11"/>
      <c r="G1319" s="11"/>
    </row>
    <row r="1320" spans="4:7">
      <c r="D1320" s="11"/>
      <c r="E1320" s="11"/>
      <c r="F1320" s="11"/>
      <c r="G1320" s="11"/>
    </row>
    <row r="1321" spans="4:7">
      <c r="D1321" s="11"/>
      <c r="E1321" s="11"/>
      <c r="F1321" s="11"/>
      <c r="G1321" s="11"/>
    </row>
    <row r="1322" spans="4:7">
      <c r="D1322" s="11"/>
      <c r="E1322" s="11"/>
      <c r="F1322" s="11"/>
      <c r="G1322" s="11"/>
    </row>
    <row r="1323" spans="4:7">
      <c r="D1323" s="11"/>
      <c r="E1323" s="11"/>
      <c r="F1323" s="11"/>
      <c r="G1323" s="11"/>
    </row>
    <row r="1324" spans="4:7">
      <c r="D1324" s="11"/>
      <c r="E1324" s="11"/>
      <c r="F1324" s="11"/>
      <c r="G1324" s="11"/>
    </row>
    <row r="1325" spans="4:7">
      <c r="D1325" s="11"/>
      <c r="E1325" s="11"/>
      <c r="F1325" s="11"/>
      <c r="G1325" s="11"/>
    </row>
    <row r="1326" spans="4:7">
      <c r="D1326" s="11"/>
      <c r="E1326" s="11"/>
      <c r="F1326" s="11"/>
      <c r="G1326" s="11"/>
    </row>
    <row r="1327" spans="4:7">
      <c r="D1327" s="11"/>
      <c r="E1327" s="11"/>
      <c r="F1327" s="11"/>
      <c r="G1327" s="11"/>
    </row>
    <row r="1328" spans="4:7">
      <c r="D1328" s="11"/>
      <c r="E1328" s="11"/>
      <c r="F1328" s="11"/>
      <c r="G1328" s="11"/>
    </row>
    <row r="1329" spans="4:7">
      <c r="D1329" s="11"/>
      <c r="E1329" s="11"/>
      <c r="F1329" s="11"/>
      <c r="G1329" s="11"/>
    </row>
    <row r="1330" spans="4:7">
      <c r="D1330" s="11"/>
      <c r="E1330" s="11"/>
      <c r="F1330" s="11"/>
      <c r="G1330" s="11"/>
    </row>
    <row r="1331" spans="4:7">
      <c r="D1331" s="11"/>
      <c r="E1331" s="11"/>
      <c r="F1331" s="11"/>
      <c r="G1331" s="11"/>
    </row>
    <row r="1332" spans="4:7">
      <c r="D1332" s="11"/>
      <c r="E1332" s="11"/>
      <c r="F1332" s="11"/>
      <c r="G1332" s="11"/>
    </row>
    <row r="1333" spans="4:7">
      <c r="D1333" s="11"/>
      <c r="E1333" s="11"/>
      <c r="F1333" s="11"/>
      <c r="G1333" s="11"/>
    </row>
    <row r="1334" spans="4:7">
      <c r="D1334" s="11"/>
      <c r="E1334" s="11"/>
      <c r="F1334" s="11"/>
      <c r="G1334" s="11"/>
    </row>
    <row r="1335" spans="4:7">
      <c r="D1335" s="11"/>
      <c r="E1335" s="11"/>
      <c r="F1335" s="11"/>
      <c r="G1335" s="11"/>
    </row>
    <row r="1336" spans="4:7">
      <c r="D1336" s="11"/>
      <c r="E1336" s="11"/>
      <c r="F1336" s="11"/>
      <c r="G1336" s="11"/>
    </row>
    <row r="1337" spans="4:7">
      <c r="D1337" s="11"/>
      <c r="E1337" s="11"/>
      <c r="F1337" s="11"/>
      <c r="G1337" s="11"/>
    </row>
    <row r="1338" spans="4:7">
      <c r="D1338" s="11"/>
      <c r="E1338" s="11"/>
      <c r="F1338" s="11"/>
      <c r="G1338" s="11"/>
    </row>
    <row r="1339" spans="4:7">
      <c r="D1339" s="11"/>
      <c r="E1339" s="11"/>
      <c r="F1339" s="11"/>
      <c r="G1339" s="11"/>
    </row>
    <row r="1340" spans="4:7">
      <c r="D1340" s="11"/>
      <c r="E1340" s="11"/>
      <c r="F1340" s="11"/>
      <c r="G1340" s="11"/>
    </row>
    <row r="1341" spans="4:7">
      <c r="D1341" s="11"/>
      <c r="E1341" s="11"/>
      <c r="F1341" s="11"/>
      <c r="G1341" s="11"/>
    </row>
    <row r="1342" spans="4:7">
      <c r="D1342" s="11"/>
      <c r="E1342" s="11"/>
      <c r="F1342" s="11"/>
      <c r="G1342" s="11"/>
    </row>
    <row r="1343" spans="4:7">
      <c r="D1343" s="11"/>
      <c r="E1343" s="11"/>
      <c r="F1343" s="11"/>
      <c r="G1343" s="11"/>
    </row>
    <row r="1344" spans="4:7">
      <c r="D1344" s="11"/>
      <c r="E1344" s="11"/>
      <c r="F1344" s="11"/>
      <c r="G1344" s="11"/>
    </row>
    <row r="1345" spans="4:7">
      <c r="D1345" s="11"/>
      <c r="E1345" s="11"/>
      <c r="F1345" s="11"/>
      <c r="G1345" s="11"/>
    </row>
    <row r="1346" spans="4:7">
      <c r="D1346" s="11"/>
      <c r="E1346" s="11"/>
      <c r="F1346" s="11"/>
      <c r="G1346" s="11"/>
    </row>
    <row r="1347" spans="4:7">
      <c r="D1347" s="11"/>
      <c r="E1347" s="11"/>
      <c r="F1347" s="11"/>
      <c r="G1347" s="11"/>
    </row>
    <row r="1348" spans="4:7">
      <c r="D1348" s="11"/>
      <c r="E1348" s="11"/>
      <c r="F1348" s="11"/>
      <c r="G1348" s="11"/>
    </row>
    <row r="1349" spans="4:7">
      <c r="D1349" s="11"/>
      <c r="E1349" s="11"/>
      <c r="F1349" s="11"/>
      <c r="G1349" s="11"/>
    </row>
    <row r="1350" spans="4:7">
      <c r="D1350" s="11"/>
      <c r="E1350" s="11"/>
      <c r="F1350" s="11"/>
      <c r="G1350" s="11"/>
    </row>
    <row r="1351" spans="4:7">
      <c r="D1351" s="11"/>
      <c r="E1351" s="11"/>
      <c r="F1351" s="11"/>
      <c r="G1351" s="11"/>
    </row>
    <row r="1352" spans="4:7">
      <c r="D1352" s="11"/>
      <c r="E1352" s="11"/>
      <c r="F1352" s="11"/>
      <c r="G1352" s="11"/>
    </row>
    <row r="1353" spans="4:7">
      <c r="D1353" s="11"/>
      <c r="E1353" s="11"/>
      <c r="F1353" s="11"/>
      <c r="G1353" s="11"/>
    </row>
    <row r="1354" spans="4:7">
      <c r="D1354" s="11"/>
      <c r="E1354" s="11"/>
      <c r="F1354" s="11"/>
      <c r="G1354" s="11"/>
    </row>
    <row r="1355" spans="4:7">
      <c r="D1355" s="11"/>
      <c r="E1355" s="11"/>
      <c r="F1355" s="11"/>
      <c r="G1355" s="11"/>
    </row>
    <row r="1356" spans="4:7">
      <c r="D1356" s="11"/>
      <c r="E1356" s="11"/>
      <c r="F1356" s="11"/>
      <c r="G1356" s="11"/>
    </row>
    <row r="1357" spans="4:7">
      <c r="D1357" s="11"/>
      <c r="E1357" s="11"/>
      <c r="F1357" s="11"/>
      <c r="G1357" s="11"/>
    </row>
    <row r="1358" spans="4:7">
      <c r="D1358" s="11"/>
      <c r="E1358" s="11"/>
      <c r="F1358" s="11"/>
      <c r="G1358" s="11"/>
    </row>
    <row r="1359" spans="4:7">
      <c r="D1359" s="11"/>
      <c r="E1359" s="11"/>
      <c r="F1359" s="11"/>
      <c r="G1359" s="11"/>
    </row>
    <row r="1360" spans="4:7">
      <c r="D1360" s="11"/>
      <c r="E1360" s="11"/>
      <c r="F1360" s="11"/>
      <c r="G1360" s="11"/>
    </row>
    <row r="1361" spans="4:7">
      <c r="D1361" s="11"/>
      <c r="E1361" s="11"/>
      <c r="F1361" s="11"/>
      <c r="G1361" s="11"/>
    </row>
    <row r="1362" spans="4:7">
      <c r="D1362" s="11"/>
      <c r="E1362" s="11"/>
      <c r="F1362" s="11"/>
      <c r="G1362" s="11"/>
    </row>
    <row r="1363" spans="4:7">
      <c r="D1363" s="11"/>
      <c r="E1363" s="11"/>
      <c r="F1363" s="11"/>
      <c r="G1363" s="11"/>
    </row>
    <row r="1364" spans="4:7">
      <c r="D1364" s="11"/>
      <c r="E1364" s="11"/>
      <c r="F1364" s="11"/>
      <c r="G1364" s="11"/>
    </row>
    <row r="1365" spans="4:7">
      <c r="D1365" s="11"/>
      <c r="E1365" s="11"/>
      <c r="F1365" s="11"/>
      <c r="G1365" s="11"/>
    </row>
    <row r="1366" spans="4:7">
      <c r="D1366" s="11"/>
      <c r="E1366" s="11"/>
      <c r="F1366" s="11"/>
      <c r="G1366" s="11"/>
    </row>
    <row r="1367" spans="4:7">
      <c r="D1367" s="11"/>
      <c r="E1367" s="11"/>
      <c r="F1367" s="11"/>
      <c r="G1367" s="11"/>
    </row>
    <row r="1368" spans="4:7">
      <c r="D1368" s="11"/>
      <c r="E1368" s="11"/>
      <c r="F1368" s="11"/>
      <c r="G1368" s="11"/>
    </row>
    <row r="1369" spans="4:7">
      <c r="D1369" s="11"/>
      <c r="E1369" s="11"/>
      <c r="F1369" s="11"/>
      <c r="G1369" s="11"/>
    </row>
    <row r="1370" spans="4:7">
      <c r="D1370" s="11"/>
      <c r="E1370" s="11"/>
      <c r="F1370" s="11"/>
      <c r="G1370" s="11"/>
    </row>
    <row r="1371" spans="4:7">
      <c r="D1371" s="11"/>
      <c r="E1371" s="11"/>
      <c r="F1371" s="11"/>
      <c r="G1371" s="11"/>
    </row>
    <row r="1372" spans="4:7">
      <c r="D1372" s="11"/>
      <c r="E1372" s="11"/>
      <c r="F1372" s="11"/>
      <c r="G1372" s="11"/>
    </row>
    <row r="1373" spans="4:7">
      <c r="D1373" s="11"/>
      <c r="E1373" s="11"/>
      <c r="F1373" s="11"/>
      <c r="G1373" s="11"/>
    </row>
    <row r="1374" spans="4:7">
      <c r="D1374" s="11"/>
      <c r="E1374" s="11"/>
      <c r="F1374" s="11"/>
      <c r="G1374" s="11"/>
    </row>
    <row r="1375" spans="4:7">
      <c r="D1375" s="11"/>
      <c r="E1375" s="11"/>
      <c r="F1375" s="11"/>
      <c r="G1375" s="11"/>
    </row>
    <row r="1376" spans="4:7">
      <c r="D1376" s="11"/>
      <c r="E1376" s="11"/>
      <c r="F1376" s="11"/>
      <c r="G1376" s="11"/>
    </row>
    <row r="1377" spans="4:7">
      <c r="D1377" s="11"/>
      <c r="E1377" s="11"/>
      <c r="F1377" s="11"/>
      <c r="G1377" s="11"/>
    </row>
    <row r="1378" spans="4:7">
      <c r="D1378" s="11"/>
      <c r="E1378" s="11"/>
      <c r="F1378" s="11"/>
      <c r="G1378" s="11"/>
    </row>
    <row r="1379" spans="4:7">
      <c r="D1379" s="11"/>
      <c r="E1379" s="11"/>
      <c r="F1379" s="11"/>
      <c r="G1379" s="11"/>
    </row>
    <row r="1380" spans="4:7">
      <c r="D1380" s="11"/>
      <c r="E1380" s="11"/>
      <c r="F1380" s="11"/>
      <c r="G1380" s="11"/>
    </row>
    <row r="1381" spans="4:7">
      <c r="D1381" s="11"/>
      <c r="E1381" s="11"/>
      <c r="F1381" s="11"/>
      <c r="G1381" s="11"/>
    </row>
    <row r="1382" spans="4:7">
      <c r="D1382" s="11"/>
      <c r="E1382" s="11"/>
      <c r="F1382" s="11"/>
      <c r="G1382" s="11"/>
    </row>
    <row r="1383" spans="4:7">
      <c r="D1383" s="11"/>
      <c r="E1383" s="11"/>
      <c r="F1383" s="11"/>
      <c r="G1383" s="11"/>
    </row>
    <row r="1384" spans="4:7">
      <c r="D1384" s="11"/>
      <c r="E1384" s="11"/>
      <c r="F1384" s="11"/>
      <c r="G1384" s="11"/>
    </row>
    <row r="1385" spans="4:7">
      <c r="D1385" s="11"/>
      <c r="E1385" s="11"/>
      <c r="F1385" s="11"/>
      <c r="G1385" s="11"/>
    </row>
    <row r="1386" spans="4:7">
      <c r="D1386" s="11"/>
      <c r="E1386" s="11"/>
      <c r="F1386" s="11"/>
      <c r="G1386" s="11"/>
    </row>
    <row r="1387" spans="4:7">
      <c r="D1387" s="11"/>
      <c r="E1387" s="11"/>
      <c r="F1387" s="11"/>
      <c r="G1387" s="11"/>
    </row>
    <row r="1388" spans="4:7">
      <c r="D1388" s="11"/>
      <c r="E1388" s="11"/>
      <c r="F1388" s="11"/>
      <c r="G1388" s="11"/>
    </row>
    <row r="1389" spans="4:7">
      <c r="D1389" s="11"/>
      <c r="E1389" s="11"/>
      <c r="F1389" s="11"/>
      <c r="G1389" s="11"/>
    </row>
    <row r="1390" spans="4:7">
      <c r="D1390" s="11"/>
      <c r="E1390" s="11"/>
      <c r="F1390" s="11"/>
      <c r="G1390" s="11"/>
    </row>
    <row r="1391" spans="4:7">
      <c r="D1391" s="11"/>
      <c r="E1391" s="11"/>
      <c r="F1391" s="11"/>
      <c r="G1391" s="11"/>
    </row>
    <row r="1392" spans="4:7">
      <c r="D1392" s="11"/>
      <c r="E1392" s="11"/>
      <c r="F1392" s="11"/>
      <c r="G1392" s="11"/>
    </row>
    <row r="1393" spans="4:7">
      <c r="D1393" s="11"/>
      <c r="E1393" s="11"/>
      <c r="F1393" s="11"/>
      <c r="G1393" s="11"/>
    </row>
    <row r="1394" spans="4:7">
      <c r="D1394" s="11"/>
      <c r="E1394" s="11"/>
      <c r="F1394" s="11"/>
      <c r="G1394" s="11"/>
    </row>
    <row r="1395" spans="4:7">
      <c r="D1395" s="11"/>
      <c r="E1395" s="11"/>
      <c r="F1395" s="11"/>
      <c r="G1395" s="11"/>
    </row>
    <row r="1396" spans="4:7">
      <c r="D1396" s="11"/>
      <c r="E1396" s="11"/>
      <c r="F1396" s="11"/>
      <c r="G1396" s="11"/>
    </row>
    <row r="1397" spans="4:7">
      <c r="D1397" s="11"/>
      <c r="E1397" s="11"/>
      <c r="F1397" s="11"/>
      <c r="G1397" s="11"/>
    </row>
    <row r="1398" spans="4:7">
      <c r="D1398" s="11"/>
      <c r="E1398" s="11"/>
      <c r="F1398" s="11"/>
      <c r="G1398" s="11"/>
    </row>
    <row r="1399" spans="4:7">
      <c r="D1399" s="11"/>
      <c r="E1399" s="11"/>
      <c r="F1399" s="11"/>
      <c r="G1399" s="11"/>
    </row>
    <row r="1400" spans="4:7">
      <c r="D1400" s="11"/>
      <c r="E1400" s="11"/>
      <c r="F1400" s="11"/>
      <c r="G1400" s="11"/>
    </row>
    <row r="1401" spans="4:7">
      <c r="D1401" s="11"/>
      <c r="E1401" s="11"/>
      <c r="F1401" s="11"/>
      <c r="G1401" s="11"/>
    </row>
    <row r="1402" spans="4:7">
      <c r="D1402" s="11"/>
      <c r="E1402" s="11"/>
      <c r="F1402" s="11"/>
      <c r="G1402" s="11"/>
    </row>
    <row r="1403" spans="4:7">
      <c r="D1403" s="11"/>
      <c r="E1403" s="11"/>
      <c r="F1403" s="11"/>
      <c r="G1403" s="11"/>
    </row>
    <row r="1404" spans="4:7">
      <c r="D1404" s="11"/>
      <c r="E1404" s="11"/>
      <c r="F1404" s="11"/>
      <c r="G1404" s="11"/>
    </row>
    <row r="1405" spans="4:7">
      <c r="D1405" s="11"/>
      <c r="E1405" s="11"/>
      <c r="F1405" s="11"/>
      <c r="G1405" s="11"/>
    </row>
    <row r="1406" spans="4:7">
      <c r="D1406" s="11"/>
      <c r="E1406" s="11"/>
      <c r="F1406" s="11"/>
      <c r="G1406" s="11"/>
    </row>
    <row r="1407" spans="4:7">
      <c r="D1407" s="11"/>
      <c r="E1407" s="11"/>
      <c r="F1407" s="11"/>
      <c r="G1407" s="11"/>
    </row>
    <row r="1408" spans="4:7">
      <c r="D1408" s="11"/>
      <c r="E1408" s="11"/>
      <c r="F1408" s="11"/>
      <c r="G1408" s="11"/>
    </row>
    <row r="1409" spans="4:7">
      <c r="D1409" s="11"/>
      <c r="E1409" s="11"/>
      <c r="F1409" s="11"/>
      <c r="G1409" s="11"/>
    </row>
    <row r="1410" spans="4:7">
      <c r="D1410" s="11"/>
      <c r="E1410" s="11"/>
      <c r="F1410" s="11"/>
      <c r="G1410" s="11"/>
    </row>
    <row r="1411" spans="4:7">
      <c r="D1411" s="11"/>
      <c r="E1411" s="11"/>
      <c r="F1411" s="11"/>
      <c r="G1411" s="11"/>
    </row>
    <row r="1412" spans="4:7">
      <c r="D1412" s="11"/>
      <c r="E1412" s="11"/>
      <c r="F1412" s="11"/>
      <c r="G1412" s="11"/>
    </row>
    <row r="1413" spans="4:7">
      <c r="D1413" s="11"/>
      <c r="E1413" s="11"/>
      <c r="F1413" s="11"/>
      <c r="G1413" s="11"/>
    </row>
    <row r="1414" spans="4:7">
      <c r="D1414" s="11"/>
      <c r="E1414" s="11"/>
      <c r="F1414" s="11"/>
      <c r="G1414" s="11"/>
    </row>
    <row r="1415" spans="4:7">
      <c r="D1415" s="11"/>
      <c r="E1415" s="11"/>
      <c r="F1415" s="11"/>
      <c r="G1415" s="11"/>
    </row>
    <row r="1416" spans="4:7">
      <c r="D1416" s="11"/>
      <c r="E1416" s="11"/>
      <c r="F1416" s="11"/>
      <c r="G1416" s="11"/>
    </row>
    <row r="1417" spans="4:7">
      <c r="D1417" s="11"/>
      <c r="E1417" s="11"/>
      <c r="F1417" s="11"/>
      <c r="G1417" s="11"/>
    </row>
    <row r="1418" spans="4:7">
      <c r="D1418" s="11"/>
      <c r="E1418" s="11"/>
      <c r="F1418" s="11"/>
      <c r="G1418" s="11"/>
    </row>
    <row r="1419" spans="4:7">
      <c r="D1419" s="11"/>
      <c r="E1419" s="11"/>
      <c r="F1419" s="11"/>
      <c r="G1419" s="11"/>
    </row>
    <row r="1420" spans="4:7">
      <c r="D1420" s="11"/>
      <c r="E1420" s="11"/>
      <c r="F1420" s="11"/>
      <c r="G1420" s="11"/>
    </row>
    <row r="1421" spans="4:7">
      <c r="D1421" s="11"/>
      <c r="E1421" s="11"/>
      <c r="F1421" s="11"/>
      <c r="G1421" s="11"/>
    </row>
    <row r="1422" spans="4:7">
      <c r="D1422" s="11"/>
      <c r="E1422" s="11"/>
      <c r="F1422" s="11"/>
      <c r="G1422" s="11"/>
    </row>
    <row r="1423" spans="4:7">
      <c r="D1423" s="11"/>
      <c r="E1423" s="11"/>
      <c r="F1423" s="11"/>
      <c r="G1423" s="11"/>
    </row>
    <row r="1424" spans="4:7">
      <c r="D1424" s="11"/>
      <c r="E1424" s="11"/>
      <c r="F1424" s="11"/>
      <c r="G1424" s="11"/>
    </row>
    <row r="1425" spans="4:7">
      <c r="D1425" s="11"/>
      <c r="E1425" s="11"/>
      <c r="F1425" s="11"/>
      <c r="G1425" s="11"/>
    </row>
    <row r="1426" spans="4:7">
      <c r="D1426" s="11"/>
      <c r="E1426" s="11"/>
      <c r="F1426" s="11"/>
      <c r="G1426" s="11"/>
    </row>
    <row r="1427" spans="4:7">
      <c r="D1427" s="11"/>
      <c r="E1427" s="11"/>
      <c r="F1427" s="11"/>
      <c r="G1427" s="11"/>
    </row>
    <row r="1428" spans="4:7">
      <c r="D1428" s="11"/>
      <c r="E1428" s="11"/>
      <c r="F1428" s="11"/>
      <c r="G1428" s="11"/>
    </row>
    <row r="1429" spans="4:7">
      <c r="D1429" s="11"/>
      <c r="E1429" s="11"/>
      <c r="F1429" s="11"/>
      <c r="G1429" s="11"/>
    </row>
    <row r="1430" spans="4:7">
      <c r="D1430" s="11"/>
      <c r="E1430" s="11"/>
      <c r="F1430" s="11"/>
      <c r="G1430" s="11"/>
    </row>
    <row r="1431" spans="4:7">
      <c r="D1431" s="11"/>
      <c r="E1431" s="11"/>
      <c r="F1431" s="11"/>
      <c r="G1431" s="11"/>
    </row>
    <row r="1432" spans="4:7">
      <c r="D1432" s="11"/>
      <c r="E1432" s="11"/>
      <c r="F1432" s="11"/>
      <c r="G1432" s="11"/>
    </row>
    <row r="1433" spans="4:7">
      <c r="D1433" s="11"/>
      <c r="E1433" s="11"/>
      <c r="F1433" s="11"/>
      <c r="G1433" s="11"/>
    </row>
    <row r="1434" spans="4:7">
      <c r="D1434" s="11"/>
      <c r="E1434" s="11"/>
      <c r="F1434" s="11"/>
      <c r="G1434" s="11"/>
    </row>
    <row r="1435" spans="4:7">
      <c r="D1435" s="11"/>
      <c r="E1435" s="11"/>
      <c r="F1435" s="11"/>
      <c r="G1435" s="11"/>
    </row>
    <row r="1436" spans="4:7">
      <c r="D1436" s="11"/>
      <c r="E1436" s="11"/>
      <c r="F1436" s="11"/>
      <c r="G1436" s="11"/>
    </row>
    <row r="1437" spans="4:7">
      <c r="D1437" s="11"/>
      <c r="E1437" s="11"/>
      <c r="F1437" s="11"/>
      <c r="G1437" s="11"/>
    </row>
    <row r="1438" spans="4:7">
      <c r="D1438" s="11"/>
      <c r="E1438" s="11"/>
      <c r="F1438" s="11"/>
      <c r="G1438" s="11"/>
    </row>
    <row r="1439" spans="4:7">
      <c r="D1439" s="11"/>
      <c r="E1439" s="11"/>
      <c r="F1439" s="11"/>
      <c r="G1439" s="11"/>
    </row>
    <row r="1440" spans="4:7">
      <c r="D1440" s="11"/>
      <c r="E1440" s="11"/>
      <c r="F1440" s="11"/>
      <c r="G1440" s="11"/>
    </row>
    <row r="1441" spans="4:7">
      <c r="D1441" s="11"/>
      <c r="E1441" s="11"/>
      <c r="F1441" s="11"/>
      <c r="G1441" s="11"/>
    </row>
    <row r="1442" spans="4:7">
      <c r="D1442" s="11"/>
      <c r="E1442" s="11"/>
      <c r="F1442" s="11"/>
      <c r="G1442" s="11"/>
    </row>
    <row r="1443" spans="4:7">
      <c r="D1443" s="11"/>
      <c r="E1443" s="11"/>
      <c r="F1443" s="11"/>
      <c r="G1443" s="11"/>
    </row>
    <row r="1444" spans="4:7">
      <c r="D1444" s="11"/>
      <c r="E1444" s="11"/>
      <c r="F1444" s="11"/>
      <c r="G1444" s="11"/>
    </row>
    <row r="1445" spans="4:7">
      <c r="D1445" s="11"/>
      <c r="E1445" s="11"/>
      <c r="F1445" s="11"/>
      <c r="G1445" s="11"/>
    </row>
    <row r="1446" spans="4:7">
      <c r="D1446" s="11"/>
      <c r="E1446" s="11"/>
      <c r="F1446" s="11"/>
      <c r="G1446" s="11"/>
    </row>
    <row r="1447" spans="4:7">
      <c r="D1447" s="11"/>
      <c r="E1447" s="11"/>
      <c r="F1447" s="11"/>
      <c r="G1447" s="11"/>
    </row>
    <row r="1448" spans="4:7">
      <c r="D1448" s="11"/>
      <c r="E1448" s="11"/>
      <c r="F1448" s="11"/>
      <c r="G1448" s="11"/>
    </row>
    <row r="1449" spans="4:7">
      <c r="D1449" s="11"/>
      <c r="E1449" s="11"/>
      <c r="F1449" s="11"/>
      <c r="G1449" s="11"/>
    </row>
    <row r="1450" spans="4:7">
      <c r="D1450" s="11"/>
      <c r="E1450" s="11"/>
      <c r="F1450" s="11"/>
      <c r="G1450" s="11"/>
    </row>
    <row r="1451" spans="4:7">
      <c r="D1451" s="11"/>
      <c r="E1451" s="11"/>
      <c r="F1451" s="11"/>
      <c r="G1451" s="11"/>
    </row>
    <row r="1452" spans="4:7">
      <c r="D1452" s="11"/>
      <c r="E1452" s="11"/>
      <c r="F1452" s="11"/>
      <c r="G1452" s="11"/>
    </row>
    <row r="1453" spans="4:7">
      <c r="D1453" s="11"/>
      <c r="E1453" s="11"/>
      <c r="F1453" s="11"/>
      <c r="G1453" s="11"/>
    </row>
    <row r="1454" spans="4:7">
      <c r="D1454" s="11"/>
      <c r="E1454" s="11"/>
      <c r="F1454" s="11"/>
      <c r="G1454" s="11"/>
    </row>
    <row r="1455" spans="4:7">
      <c r="D1455" s="11"/>
      <c r="E1455" s="11"/>
      <c r="F1455" s="11"/>
      <c r="G1455" s="11"/>
    </row>
    <row r="1456" spans="4:7">
      <c r="D1456" s="11"/>
      <c r="E1456" s="11"/>
      <c r="F1456" s="11"/>
      <c r="G1456" s="11"/>
    </row>
    <row r="1457" spans="4:7">
      <c r="D1457" s="11"/>
      <c r="E1457" s="11"/>
      <c r="F1457" s="11"/>
      <c r="G1457" s="11"/>
    </row>
    <row r="1458" spans="4:7">
      <c r="D1458" s="11"/>
      <c r="E1458" s="11"/>
      <c r="F1458" s="11"/>
      <c r="G1458" s="11"/>
    </row>
    <row r="1459" spans="4:7">
      <c r="D1459" s="11"/>
      <c r="E1459" s="11"/>
      <c r="F1459" s="11"/>
      <c r="G1459" s="11"/>
    </row>
    <row r="1460" spans="4:7">
      <c r="D1460" s="11"/>
      <c r="E1460" s="11"/>
      <c r="F1460" s="11"/>
      <c r="G1460" s="11"/>
    </row>
    <row r="1461" spans="4:7">
      <c r="D1461" s="11"/>
      <c r="E1461" s="11"/>
      <c r="F1461" s="11"/>
      <c r="G1461" s="11"/>
    </row>
    <row r="1462" spans="4:7">
      <c r="D1462" s="11"/>
      <c r="E1462" s="11"/>
      <c r="F1462" s="11"/>
      <c r="G1462" s="11"/>
    </row>
    <row r="1463" spans="4:7">
      <c r="D1463" s="11"/>
      <c r="E1463" s="11"/>
      <c r="F1463" s="11"/>
      <c r="G1463" s="11"/>
    </row>
    <row r="1464" spans="4:7">
      <c r="D1464" s="11"/>
      <c r="E1464" s="11"/>
      <c r="F1464" s="11"/>
      <c r="G1464" s="11"/>
    </row>
    <row r="1465" spans="4:7">
      <c r="D1465" s="11"/>
      <c r="E1465" s="11"/>
      <c r="F1465" s="11"/>
      <c r="G1465" s="11"/>
    </row>
    <row r="1466" spans="4:7">
      <c r="D1466" s="11"/>
      <c r="E1466" s="11"/>
      <c r="F1466" s="11"/>
      <c r="G1466" s="11"/>
    </row>
    <row r="1467" spans="4:7">
      <c r="D1467" s="11"/>
      <c r="E1467" s="11"/>
      <c r="F1467" s="11"/>
      <c r="G1467" s="11"/>
    </row>
    <row r="1468" spans="4:7">
      <c r="D1468" s="11"/>
      <c r="E1468" s="11"/>
      <c r="F1468" s="11"/>
      <c r="G1468" s="11"/>
    </row>
    <row r="1469" spans="4:7">
      <c r="D1469" s="11"/>
      <c r="E1469" s="11"/>
      <c r="F1469" s="11"/>
      <c r="G1469" s="11"/>
    </row>
    <row r="1470" spans="4:7">
      <c r="D1470" s="11"/>
      <c r="E1470" s="11"/>
      <c r="F1470" s="11"/>
      <c r="G1470" s="11"/>
    </row>
    <row r="1471" spans="4:7">
      <c r="D1471" s="11"/>
      <c r="E1471" s="11"/>
      <c r="F1471" s="11"/>
      <c r="G1471" s="11"/>
    </row>
    <row r="1472" spans="4:7">
      <c r="D1472" s="11"/>
      <c r="E1472" s="11"/>
      <c r="F1472" s="11"/>
      <c r="G1472" s="11"/>
    </row>
    <row r="1473" spans="4:7">
      <c r="D1473" s="11"/>
      <c r="E1473" s="11"/>
      <c r="F1473" s="11"/>
      <c r="G1473" s="11"/>
    </row>
    <row r="1474" spans="4:7">
      <c r="D1474" s="11"/>
      <c r="E1474" s="11"/>
      <c r="F1474" s="11"/>
      <c r="G1474" s="11"/>
    </row>
    <row r="1475" spans="4:7">
      <c r="D1475" s="11"/>
      <c r="E1475" s="11"/>
      <c r="F1475" s="11"/>
      <c r="G1475" s="11"/>
    </row>
    <row r="1476" spans="4:7">
      <c r="D1476" s="11"/>
      <c r="E1476" s="11"/>
      <c r="F1476" s="11"/>
      <c r="G1476" s="11"/>
    </row>
    <row r="1477" spans="4:7">
      <c r="D1477" s="11"/>
      <c r="E1477" s="11"/>
      <c r="F1477" s="11"/>
      <c r="G1477" s="11"/>
    </row>
    <row r="1478" spans="4:7">
      <c r="D1478" s="11"/>
      <c r="E1478" s="11"/>
      <c r="F1478" s="11"/>
      <c r="G1478" s="11"/>
    </row>
    <row r="1479" spans="4:7">
      <c r="D1479" s="11"/>
      <c r="E1479" s="11"/>
      <c r="F1479" s="11"/>
      <c r="G1479" s="11"/>
    </row>
    <row r="1480" spans="4:7">
      <c r="D1480" s="11"/>
      <c r="E1480" s="11"/>
      <c r="F1480" s="11"/>
      <c r="G1480" s="11"/>
    </row>
    <row r="1481" spans="4:7">
      <c r="D1481" s="11"/>
      <c r="E1481" s="11"/>
      <c r="F1481" s="11"/>
      <c r="G1481" s="11"/>
    </row>
    <row r="1482" spans="4:7">
      <c r="D1482" s="11"/>
      <c r="E1482" s="11"/>
      <c r="F1482" s="11"/>
      <c r="G1482" s="11"/>
    </row>
    <row r="1483" spans="4:7">
      <c r="D1483" s="11"/>
      <c r="E1483" s="11"/>
      <c r="F1483" s="11"/>
      <c r="G1483" s="11"/>
    </row>
    <row r="1484" spans="4:7">
      <c r="D1484" s="11"/>
      <c r="E1484" s="11"/>
      <c r="F1484" s="11"/>
      <c r="G1484" s="11"/>
    </row>
    <row r="1485" spans="4:7">
      <c r="D1485" s="11"/>
      <c r="E1485" s="11"/>
      <c r="F1485" s="11"/>
      <c r="G1485" s="11"/>
    </row>
    <row r="1486" spans="4:7">
      <c r="D1486" s="11"/>
      <c r="E1486" s="11"/>
      <c r="F1486" s="11"/>
      <c r="G1486" s="11"/>
    </row>
    <row r="1487" spans="4:7">
      <c r="D1487" s="11"/>
      <c r="E1487" s="11"/>
      <c r="F1487" s="11"/>
      <c r="G1487" s="11"/>
    </row>
    <row r="1488" spans="4:7">
      <c r="D1488" s="11"/>
      <c r="E1488" s="11"/>
      <c r="F1488" s="11"/>
      <c r="G1488" s="11"/>
    </row>
    <row r="1489" spans="4:7">
      <c r="D1489" s="11"/>
      <c r="E1489" s="11"/>
      <c r="F1489" s="11"/>
      <c r="G1489" s="11"/>
    </row>
    <row r="1490" spans="4:7">
      <c r="D1490" s="11"/>
      <c r="E1490" s="11"/>
      <c r="F1490" s="11"/>
      <c r="G1490" s="11"/>
    </row>
    <row r="1491" spans="4:7">
      <c r="D1491" s="11"/>
      <c r="E1491" s="11"/>
      <c r="F1491" s="11"/>
      <c r="G1491" s="11"/>
    </row>
    <row r="1492" spans="4:7">
      <c r="D1492" s="11"/>
      <c r="E1492" s="11"/>
      <c r="F1492" s="11"/>
      <c r="G1492" s="11"/>
    </row>
    <row r="1493" spans="4:7">
      <c r="D1493" s="11"/>
      <c r="E1493" s="11"/>
      <c r="F1493" s="11"/>
      <c r="G1493" s="11"/>
    </row>
    <row r="1494" spans="4:7">
      <c r="D1494" s="11"/>
      <c r="E1494" s="11"/>
      <c r="F1494" s="11"/>
      <c r="G1494" s="11"/>
    </row>
    <row r="1495" spans="4:7">
      <c r="D1495" s="11"/>
      <c r="E1495" s="11"/>
      <c r="F1495" s="11"/>
      <c r="G1495" s="11"/>
    </row>
    <row r="1496" spans="4:7">
      <c r="D1496" s="11"/>
      <c r="E1496" s="11"/>
      <c r="F1496" s="11"/>
      <c r="G1496" s="11"/>
    </row>
    <row r="1497" spans="4:7">
      <c r="D1497" s="11"/>
      <c r="E1497" s="11"/>
      <c r="F1497" s="11"/>
      <c r="G1497" s="11"/>
    </row>
    <row r="1498" spans="4:7">
      <c r="D1498" s="11"/>
      <c r="E1498" s="11"/>
      <c r="F1498" s="11"/>
      <c r="G1498" s="11"/>
    </row>
    <row r="1499" spans="4:7">
      <c r="D1499" s="11"/>
      <c r="E1499" s="11"/>
      <c r="F1499" s="11"/>
      <c r="G1499" s="11"/>
    </row>
    <row r="1500" spans="4:7">
      <c r="D1500" s="11"/>
      <c r="E1500" s="11"/>
      <c r="F1500" s="11"/>
      <c r="G1500" s="11"/>
    </row>
    <row r="1501" spans="4:7">
      <c r="D1501" s="11"/>
      <c r="E1501" s="11"/>
      <c r="F1501" s="11"/>
      <c r="G1501" s="11"/>
    </row>
    <row r="1502" spans="4:7">
      <c r="D1502" s="11"/>
      <c r="E1502" s="11"/>
      <c r="F1502" s="11"/>
      <c r="G1502" s="11"/>
    </row>
    <row r="1503" spans="4:7">
      <c r="D1503" s="11"/>
      <c r="E1503" s="11"/>
      <c r="F1503" s="11"/>
      <c r="G1503" s="11"/>
    </row>
    <row r="1504" spans="4:7">
      <c r="D1504" s="11"/>
      <c r="E1504" s="11"/>
      <c r="F1504" s="11"/>
      <c r="G1504" s="11"/>
    </row>
    <row r="1505" spans="4:7">
      <c r="D1505" s="11"/>
      <c r="E1505" s="11"/>
      <c r="F1505" s="11"/>
      <c r="G1505" s="11"/>
    </row>
    <row r="1506" spans="4:7">
      <c r="D1506" s="11"/>
      <c r="E1506" s="11"/>
      <c r="F1506" s="11"/>
      <c r="G1506" s="11"/>
    </row>
    <row r="1507" spans="4:7">
      <c r="D1507" s="11"/>
      <c r="E1507" s="11"/>
      <c r="F1507" s="11"/>
      <c r="G1507" s="11"/>
    </row>
    <row r="1508" spans="4:7">
      <c r="D1508" s="11"/>
      <c r="E1508" s="11"/>
      <c r="F1508" s="11"/>
      <c r="G1508" s="11"/>
    </row>
    <row r="1509" spans="4:7">
      <c r="D1509" s="11"/>
      <c r="E1509" s="11"/>
      <c r="F1509" s="11"/>
      <c r="G1509" s="11"/>
    </row>
    <row r="1510" spans="4:7">
      <c r="D1510" s="11"/>
      <c r="E1510" s="11"/>
      <c r="F1510" s="11"/>
      <c r="G1510" s="11"/>
    </row>
    <row r="1511" spans="4:7">
      <c r="D1511" s="11"/>
      <c r="E1511" s="11"/>
      <c r="F1511" s="11"/>
      <c r="G1511" s="11"/>
    </row>
    <row r="1512" spans="4:7">
      <c r="D1512" s="11"/>
      <c r="E1512" s="11"/>
      <c r="F1512" s="11"/>
      <c r="G1512" s="11"/>
    </row>
    <row r="1513" spans="4:7">
      <c r="D1513" s="11"/>
      <c r="E1513" s="11"/>
      <c r="F1513" s="11"/>
      <c r="G1513" s="11"/>
    </row>
    <row r="1514" spans="4:7">
      <c r="D1514" s="11"/>
      <c r="E1514" s="11"/>
      <c r="F1514" s="11"/>
      <c r="G1514" s="11"/>
    </row>
    <row r="1515" spans="4:7">
      <c r="D1515" s="11"/>
      <c r="E1515" s="11"/>
      <c r="F1515" s="11"/>
      <c r="G1515" s="11"/>
    </row>
    <row r="1516" spans="4:7">
      <c r="D1516" s="11"/>
      <c r="E1516" s="11"/>
      <c r="F1516" s="11"/>
      <c r="G1516" s="11"/>
    </row>
    <row r="1517" spans="4:7">
      <c r="D1517" s="11"/>
      <c r="E1517" s="11"/>
      <c r="F1517" s="11"/>
      <c r="G1517" s="11"/>
    </row>
    <row r="1518" spans="4:7">
      <c r="D1518" s="11"/>
      <c r="E1518" s="11"/>
      <c r="F1518" s="11"/>
      <c r="G1518" s="11"/>
    </row>
    <row r="1519" spans="4:7">
      <c r="D1519" s="11"/>
      <c r="E1519" s="11"/>
      <c r="F1519" s="11"/>
      <c r="G1519" s="11"/>
    </row>
    <row r="1520" spans="4:7">
      <c r="D1520" s="11"/>
      <c r="E1520" s="11"/>
      <c r="F1520" s="11"/>
      <c r="G1520" s="11"/>
    </row>
    <row r="1521" spans="4:7">
      <c r="D1521" s="11"/>
      <c r="E1521" s="11"/>
      <c r="F1521" s="11"/>
      <c r="G1521" s="11"/>
    </row>
    <row r="1522" spans="4:7">
      <c r="D1522" s="11"/>
      <c r="E1522" s="11"/>
      <c r="F1522" s="11"/>
      <c r="G1522" s="11"/>
    </row>
    <row r="1523" spans="4:7">
      <c r="D1523" s="11"/>
      <c r="E1523" s="11"/>
      <c r="F1523" s="11"/>
      <c r="G1523" s="11"/>
    </row>
    <row r="1524" spans="4:7">
      <c r="D1524" s="11"/>
      <c r="E1524" s="11"/>
      <c r="F1524" s="11"/>
      <c r="G1524" s="11"/>
    </row>
    <row r="1525" spans="4:7">
      <c r="D1525" s="11"/>
      <c r="E1525" s="11"/>
      <c r="F1525" s="11"/>
      <c r="G1525" s="11"/>
    </row>
    <row r="1526" spans="4:7">
      <c r="D1526" s="11"/>
      <c r="E1526" s="11"/>
      <c r="F1526" s="11"/>
      <c r="G1526" s="11"/>
    </row>
    <row r="1527" spans="4:7">
      <c r="D1527" s="11"/>
      <c r="E1527" s="11"/>
      <c r="F1527" s="11"/>
      <c r="G1527" s="11"/>
    </row>
    <row r="1528" spans="4:7">
      <c r="D1528" s="11"/>
      <c r="E1528" s="11"/>
      <c r="F1528" s="11"/>
      <c r="G1528" s="11"/>
    </row>
    <row r="1529" spans="4:7">
      <c r="D1529" s="11"/>
      <c r="E1529" s="11"/>
      <c r="F1529" s="11"/>
      <c r="G1529" s="11"/>
    </row>
    <row r="1530" spans="4:7">
      <c r="D1530" s="11"/>
      <c r="E1530" s="11"/>
      <c r="F1530" s="11"/>
      <c r="G1530" s="11"/>
    </row>
    <row r="1531" spans="4:7">
      <c r="D1531" s="11"/>
      <c r="E1531" s="11"/>
      <c r="F1531" s="11"/>
      <c r="G1531" s="11"/>
    </row>
    <row r="1532" spans="4:7">
      <c r="D1532" s="11"/>
      <c r="E1532" s="11"/>
      <c r="F1532" s="11"/>
      <c r="G1532" s="11"/>
    </row>
    <row r="1533" spans="4:7">
      <c r="D1533" s="11"/>
      <c r="E1533" s="11"/>
      <c r="F1533" s="11"/>
      <c r="G1533" s="11"/>
    </row>
    <row r="1534" spans="4:7">
      <c r="D1534" s="11"/>
      <c r="E1534" s="11"/>
      <c r="F1534" s="11"/>
      <c r="G1534" s="11"/>
    </row>
    <row r="1535" spans="4:7">
      <c r="D1535" s="11"/>
      <c r="E1535" s="11"/>
      <c r="F1535" s="11"/>
      <c r="G1535" s="11"/>
    </row>
    <row r="1536" spans="4:7">
      <c r="D1536" s="11"/>
      <c r="E1536" s="11"/>
      <c r="F1536" s="11"/>
      <c r="G1536" s="11"/>
    </row>
    <row r="1537" spans="4:7">
      <c r="D1537" s="11"/>
      <c r="E1537" s="11"/>
      <c r="F1537" s="11"/>
      <c r="G1537" s="11"/>
    </row>
    <row r="1538" spans="4:7">
      <c r="D1538" s="11"/>
      <c r="E1538" s="11"/>
      <c r="F1538" s="11"/>
      <c r="G1538" s="11"/>
    </row>
    <row r="1539" spans="4:7">
      <c r="D1539" s="11"/>
      <c r="E1539" s="11"/>
      <c r="F1539" s="11"/>
      <c r="G1539" s="11"/>
    </row>
    <row r="1540" spans="4:7">
      <c r="D1540" s="11"/>
      <c r="E1540" s="11"/>
      <c r="F1540" s="11"/>
      <c r="G1540" s="11"/>
    </row>
    <row r="1541" spans="4:7">
      <c r="D1541" s="11"/>
      <c r="E1541" s="11"/>
      <c r="F1541" s="11"/>
      <c r="G1541" s="11"/>
    </row>
    <row r="1542" spans="4:7">
      <c r="D1542" s="11"/>
      <c r="E1542" s="11"/>
      <c r="F1542" s="11"/>
      <c r="G1542" s="11"/>
    </row>
    <row r="1543" spans="4:7">
      <c r="D1543" s="11"/>
      <c r="E1543" s="11"/>
      <c r="F1543" s="11"/>
      <c r="G1543" s="11"/>
    </row>
    <row r="1544" spans="4:7">
      <c r="D1544" s="11"/>
      <c r="E1544" s="11"/>
      <c r="F1544" s="11"/>
      <c r="G1544" s="11"/>
    </row>
    <row r="1545" spans="4:7">
      <c r="D1545" s="11"/>
      <c r="E1545" s="11"/>
      <c r="F1545" s="11"/>
      <c r="G1545" s="11"/>
    </row>
    <row r="1546" spans="4:7">
      <c r="D1546" s="11"/>
      <c r="E1546" s="11"/>
      <c r="F1546" s="11"/>
      <c r="G1546" s="11"/>
    </row>
    <row r="1547" spans="4:7">
      <c r="D1547" s="11"/>
      <c r="E1547" s="11"/>
      <c r="F1547" s="11"/>
      <c r="G1547" s="11"/>
    </row>
    <row r="1548" spans="4:7">
      <c r="D1548" s="11"/>
      <c r="E1548" s="11"/>
      <c r="F1548" s="11"/>
      <c r="G1548" s="11"/>
    </row>
    <row r="1549" spans="4:7">
      <c r="D1549" s="11"/>
      <c r="E1549" s="11"/>
      <c r="F1549" s="11"/>
      <c r="G1549" s="11"/>
    </row>
    <row r="1550" spans="4:7">
      <c r="D1550" s="11"/>
      <c r="E1550" s="11"/>
      <c r="F1550" s="11"/>
      <c r="G1550" s="11"/>
    </row>
    <row r="1551" spans="4:7">
      <c r="D1551" s="11"/>
      <c r="E1551" s="11"/>
      <c r="F1551" s="11"/>
      <c r="G1551" s="11"/>
    </row>
    <row r="1552" spans="4:7">
      <c r="D1552" s="11"/>
      <c r="E1552" s="11"/>
      <c r="F1552" s="11"/>
      <c r="G1552" s="11"/>
    </row>
    <row r="1553" spans="4:7">
      <c r="D1553" s="11"/>
      <c r="E1553" s="11"/>
      <c r="F1553" s="11"/>
      <c r="G1553" s="11"/>
    </row>
    <row r="1554" spans="4:7">
      <c r="D1554" s="11"/>
      <c r="E1554" s="11"/>
      <c r="F1554" s="11"/>
      <c r="G1554" s="11"/>
    </row>
    <row r="1555" spans="4:7">
      <c r="D1555" s="11"/>
      <c r="E1555" s="11"/>
      <c r="F1555" s="11"/>
      <c r="G1555" s="11"/>
    </row>
    <row r="1556" spans="4:7">
      <c r="D1556" s="11"/>
      <c r="E1556" s="11"/>
      <c r="F1556" s="11"/>
      <c r="G1556" s="11"/>
    </row>
    <row r="1557" spans="4:7">
      <c r="D1557" s="11"/>
      <c r="E1557" s="11"/>
      <c r="F1557" s="11"/>
      <c r="G1557" s="11"/>
    </row>
    <row r="1558" spans="4:7">
      <c r="D1558" s="11"/>
      <c r="E1558" s="11"/>
      <c r="F1558" s="11"/>
      <c r="G1558" s="11"/>
    </row>
    <row r="1559" spans="4:7">
      <c r="D1559" s="11"/>
      <c r="E1559" s="11"/>
      <c r="F1559" s="11"/>
      <c r="G1559" s="11"/>
    </row>
    <row r="1560" spans="4:7">
      <c r="D1560" s="11"/>
      <c r="E1560" s="11"/>
      <c r="F1560" s="11"/>
      <c r="G1560" s="11"/>
    </row>
    <row r="1561" spans="4:7">
      <c r="D1561" s="11"/>
      <c r="E1561" s="11"/>
      <c r="F1561" s="11"/>
      <c r="G1561" s="11"/>
    </row>
    <row r="1562" spans="4:7">
      <c r="D1562" s="11"/>
      <c r="E1562" s="11"/>
      <c r="F1562" s="11"/>
      <c r="G1562" s="11"/>
    </row>
    <row r="1563" spans="4:7">
      <c r="D1563" s="11"/>
      <c r="E1563" s="11"/>
      <c r="F1563" s="11"/>
      <c r="G1563" s="11"/>
    </row>
    <row r="1564" spans="4:7">
      <c r="D1564" s="11"/>
      <c r="E1564" s="11"/>
      <c r="F1564" s="11"/>
      <c r="G1564" s="11"/>
    </row>
    <row r="1565" spans="4:7">
      <c r="D1565" s="11"/>
      <c r="E1565" s="11"/>
      <c r="F1565" s="11"/>
      <c r="G1565" s="11"/>
    </row>
    <row r="1566" spans="4:7">
      <c r="D1566" s="11"/>
      <c r="E1566" s="11"/>
      <c r="F1566" s="11"/>
      <c r="G1566" s="11"/>
    </row>
    <row r="1567" spans="4:7">
      <c r="D1567" s="11"/>
      <c r="E1567" s="11"/>
      <c r="F1567" s="11"/>
      <c r="G1567" s="11"/>
    </row>
    <row r="1568" spans="4:7">
      <c r="D1568" s="11"/>
      <c r="E1568" s="11"/>
      <c r="F1568" s="11"/>
      <c r="G1568" s="11"/>
    </row>
    <row r="1569" spans="4:7">
      <c r="D1569" s="11"/>
      <c r="E1569" s="11"/>
      <c r="F1569" s="11"/>
      <c r="G1569" s="11"/>
    </row>
    <row r="1570" spans="4:7">
      <c r="D1570" s="11"/>
      <c r="E1570" s="11"/>
      <c r="F1570" s="11"/>
      <c r="G1570" s="11"/>
    </row>
    <row r="1571" spans="4:7">
      <c r="D1571" s="11"/>
      <c r="E1571" s="11"/>
      <c r="F1571" s="11"/>
      <c r="G1571" s="11"/>
    </row>
    <row r="1572" spans="4:7">
      <c r="D1572" s="11"/>
      <c r="E1572" s="11"/>
      <c r="F1572" s="11"/>
      <c r="G1572" s="11"/>
    </row>
    <row r="1573" spans="4:7">
      <c r="D1573" s="11"/>
      <c r="E1573" s="11"/>
      <c r="F1573" s="11"/>
      <c r="G1573" s="11"/>
    </row>
    <row r="1574" spans="4:7">
      <c r="D1574" s="11"/>
      <c r="E1574" s="11"/>
      <c r="F1574" s="11"/>
      <c r="G1574" s="11"/>
    </row>
    <row r="1575" spans="4:7">
      <c r="D1575" s="11"/>
      <c r="E1575" s="11"/>
      <c r="F1575" s="11"/>
      <c r="G1575" s="11"/>
    </row>
    <row r="1576" spans="4:7">
      <c r="D1576" s="11"/>
      <c r="E1576" s="11"/>
      <c r="F1576" s="11"/>
      <c r="G1576" s="11"/>
    </row>
    <row r="1577" spans="4:7">
      <c r="D1577" s="11"/>
      <c r="E1577" s="11"/>
      <c r="F1577" s="11"/>
      <c r="G1577" s="11"/>
    </row>
    <row r="1578" spans="4:7">
      <c r="D1578" s="11"/>
      <c r="E1578" s="11"/>
      <c r="F1578" s="11"/>
      <c r="G1578" s="11"/>
    </row>
    <row r="1579" spans="4:7">
      <c r="D1579" s="11"/>
      <c r="E1579" s="11"/>
      <c r="F1579" s="11"/>
      <c r="G1579" s="11"/>
    </row>
    <row r="1580" spans="4:7">
      <c r="D1580" s="11"/>
      <c r="E1580" s="11"/>
      <c r="F1580" s="11"/>
      <c r="G1580" s="11"/>
    </row>
    <row r="1581" spans="4:7">
      <c r="D1581" s="11"/>
      <c r="E1581" s="11"/>
      <c r="F1581" s="11"/>
      <c r="G1581" s="11"/>
    </row>
    <row r="1582" spans="4:7">
      <c r="D1582" s="11"/>
      <c r="E1582" s="11"/>
      <c r="F1582" s="11"/>
      <c r="G1582" s="11"/>
    </row>
    <row r="1583" spans="4:7">
      <c r="D1583" s="11"/>
      <c r="E1583" s="11"/>
      <c r="F1583" s="11"/>
      <c r="G1583" s="11"/>
    </row>
    <row r="1584" spans="4:7">
      <c r="D1584" s="11"/>
      <c r="E1584" s="11"/>
      <c r="F1584" s="11"/>
      <c r="G1584" s="11"/>
    </row>
    <row r="1585" spans="4:7">
      <c r="D1585" s="11"/>
      <c r="E1585" s="11"/>
      <c r="F1585" s="11"/>
      <c r="G1585" s="11"/>
    </row>
    <row r="1586" spans="4:7">
      <c r="D1586" s="11"/>
      <c r="E1586" s="11"/>
      <c r="F1586" s="11"/>
      <c r="G1586" s="11"/>
    </row>
    <row r="1587" spans="4:7">
      <c r="D1587" s="11"/>
      <c r="E1587" s="11"/>
      <c r="F1587" s="11"/>
      <c r="G1587" s="11"/>
    </row>
    <row r="1588" spans="4:7">
      <c r="D1588" s="11"/>
      <c r="E1588" s="11"/>
      <c r="F1588" s="11"/>
      <c r="G1588" s="11"/>
    </row>
    <row r="1589" spans="4:7">
      <c r="D1589" s="11"/>
      <c r="E1589" s="11"/>
      <c r="F1589" s="11"/>
      <c r="G1589" s="11"/>
    </row>
    <row r="1590" spans="4:7">
      <c r="D1590" s="11"/>
      <c r="E1590" s="11"/>
      <c r="F1590" s="11"/>
      <c r="G1590" s="11"/>
    </row>
    <row r="1591" spans="4:7">
      <c r="D1591" s="11"/>
      <c r="E1591" s="11"/>
      <c r="F1591" s="11"/>
      <c r="G1591" s="11"/>
    </row>
    <row r="1592" spans="4:7">
      <c r="D1592" s="11"/>
      <c r="E1592" s="11"/>
      <c r="F1592" s="11"/>
      <c r="G1592" s="11"/>
    </row>
    <row r="1593" spans="4:7">
      <c r="D1593" s="11"/>
      <c r="E1593" s="11"/>
      <c r="F1593" s="11"/>
      <c r="G1593" s="11"/>
    </row>
    <row r="1594" spans="4:7">
      <c r="D1594" s="11"/>
      <c r="E1594" s="11"/>
      <c r="F1594" s="11"/>
      <c r="G1594" s="11"/>
    </row>
    <row r="1595" spans="4:7">
      <c r="D1595" s="11"/>
      <c r="E1595" s="11"/>
      <c r="F1595" s="11"/>
      <c r="G1595" s="11"/>
    </row>
    <row r="1596" spans="4:7">
      <c r="D1596" s="11"/>
      <c r="E1596" s="11"/>
      <c r="F1596" s="11"/>
      <c r="G1596" s="11"/>
    </row>
    <row r="1597" spans="4:7">
      <c r="D1597" s="11"/>
      <c r="E1597" s="11"/>
      <c r="F1597" s="11"/>
      <c r="G1597" s="11"/>
    </row>
    <row r="1598" spans="4:7">
      <c r="D1598" s="11"/>
      <c r="E1598" s="11"/>
      <c r="F1598" s="11"/>
      <c r="G1598" s="11"/>
    </row>
    <row r="1599" spans="4:7">
      <c r="D1599" s="11"/>
      <c r="E1599" s="11"/>
      <c r="F1599" s="11"/>
      <c r="G1599" s="11"/>
    </row>
    <row r="1600" spans="4:7">
      <c r="D1600" s="11"/>
      <c r="E1600" s="11"/>
      <c r="F1600" s="11"/>
      <c r="G1600" s="11"/>
    </row>
    <row r="1601" spans="4:7">
      <c r="D1601" s="11"/>
      <c r="E1601" s="11"/>
      <c r="F1601" s="11"/>
      <c r="G1601" s="11"/>
    </row>
    <row r="1602" spans="4:7">
      <c r="D1602" s="11"/>
      <c r="E1602" s="11"/>
      <c r="F1602" s="11"/>
      <c r="G1602" s="11"/>
    </row>
    <row r="1603" spans="4:7">
      <c r="D1603" s="11"/>
      <c r="E1603" s="11"/>
      <c r="F1603" s="11"/>
      <c r="G1603" s="11"/>
    </row>
    <row r="1604" spans="4:7">
      <c r="D1604" s="11"/>
      <c r="E1604" s="11"/>
      <c r="F1604" s="11"/>
      <c r="G1604" s="11"/>
    </row>
    <row r="1605" spans="4:7">
      <c r="D1605" s="11"/>
      <c r="E1605" s="11"/>
      <c r="F1605" s="11"/>
      <c r="G1605" s="11"/>
    </row>
    <row r="1606" spans="4:7">
      <c r="D1606" s="11"/>
      <c r="E1606" s="11"/>
      <c r="F1606" s="11"/>
      <c r="G1606" s="11"/>
    </row>
    <row r="1607" spans="4:7">
      <c r="D1607" s="11"/>
      <c r="E1607" s="11"/>
      <c r="F1607" s="11"/>
      <c r="G1607" s="11"/>
    </row>
    <row r="1608" spans="4:7">
      <c r="D1608" s="11"/>
      <c r="E1608" s="11"/>
      <c r="F1608" s="11"/>
      <c r="G1608" s="11"/>
    </row>
    <row r="1609" spans="4:7">
      <c r="D1609" s="11"/>
      <c r="E1609" s="11"/>
      <c r="F1609" s="11"/>
      <c r="G1609" s="11"/>
    </row>
    <row r="1610" spans="4:7">
      <c r="D1610" s="11"/>
      <c r="E1610" s="11"/>
      <c r="F1610" s="11"/>
      <c r="G1610" s="11"/>
    </row>
    <row r="1611" spans="4:7">
      <c r="D1611" s="11"/>
      <c r="E1611" s="11"/>
      <c r="F1611" s="11"/>
      <c r="G1611" s="11"/>
    </row>
    <row r="1612" spans="4:7">
      <c r="D1612" s="11"/>
      <c r="E1612" s="11"/>
      <c r="F1612" s="11"/>
      <c r="G1612" s="11"/>
    </row>
    <row r="1613" spans="4:7">
      <c r="D1613" s="11"/>
      <c r="E1613" s="11"/>
      <c r="F1613" s="11"/>
      <c r="G1613" s="11"/>
    </row>
    <row r="1614" spans="4:7">
      <c r="D1614" s="11"/>
      <c r="E1614" s="11"/>
      <c r="F1614" s="11"/>
      <c r="G1614" s="11"/>
    </row>
    <row r="1615" spans="4:7">
      <c r="D1615" s="11"/>
      <c r="E1615" s="11"/>
      <c r="F1615" s="11"/>
      <c r="G1615" s="11"/>
    </row>
    <row r="1616" spans="4:7">
      <c r="D1616" s="11"/>
      <c r="E1616" s="11"/>
      <c r="F1616" s="11"/>
      <c r="G1616" s="11"/>
    </row>
    <row r="1617" spans="4:7">
      <c r="D1617" s="11"/>
      <c r="E1617" s="11"/>
      <c r="F1617" s="11"/>
      <c r="G1617" s="11"/>
    </row>
    <row r="1618" spans="4:7">
      <c r="D1618" s="11"/>
      <c r="E1618" s="11"/>
      <c r="F1618" s="11"/>
      <c r="G1618" s="11"/>
    </row>
    <row r="1619" spans="4:7">
      <c r="D1619" s="11"/>
      <c r="E1619" s="11"/>
      <c r="F1619" s="11"/>
      <c r="G1619" s="11"/>
    </row>
    <row r="1620" spans="4:7">
      <c r="D1620" s="11"/>
      <c r="E1620" s="11"/>
      <c r="F1620" s="11"/>
      <c r="G1620" s="11"/>
    </row>
    <row r="1621" spans="4:7">
      <c r="D1621" s="11"/>
      <c r="E1621" s="11"/>
      <c r="F1621" s="11"/>
      <c r="G1621" s="11"/>
    </row>
    <row r="1622" spans="4:7">
      <c r="D1622" s="11"/>
      <c r="E1622" s="11"/>
      <c r="F1622" s="11"/>
      <c r="G1622" s="11"/>
    </row>
    <row r="1623" spans="4:7">
      <c r="D1623" s="11"/>
      <c r="E1623" s="11"/>
      <c r="F1623" s="11"/>
      <c r="G1623" s="11"/>
    </row>
    <row r="1624" spans="4:7">
      <c r="D1624" s="11"/>
      <c r="E1624" s="11"/>
      <c r="F1624" s="11"/>
      <c r="G1624" s="11"/>
    </row>
    <row r="1625" spans="4:7">
      <c r="D1625" s="11"/>
      <c r="E1625" s="11"/>
      <c r="F1625" s="11"/>
      <c r="G1625" s="11"/>
    </row>
    <row r="1626" spans="4:7">
      <c r="D1626" s="11"/>
      <c r="E1626" s="11"/>
      <c r="F1626" s="11"/>
      <c r="G1626" s="11"/>
    </row>
    <row r="1627" spans="4:7">
      <c r="D1627" s="11"/>
      <c r="E1627" s="11"/>
      <c r="F1627" s="11"/>
      <c r="G1627" s="11"/>
    </row>
    <row r="1628" spans="4:7">
      <c r="D1628" s="11"/>
      <c r="E1628" s="11"/>
      <c r="F1628" s="11"/>
      <c r="G1628" s="11"/>
    </row>
    <row r="1629" spans="4:7">
      <c r="D1629" s="11"/>
      <c r="E1629" s="11"/>
      <c r="F1629" s="11"/>
      <c r="G1629" s="11"/>
    </row>
    <row r="1630" spans="4:7">
      <c r="D1630" s="11"/>
      <c r="E1630" s="11"/>
      <c r="F1630" s="11"/>
      <c r="G1630" s="11"/>
    </row>
    <row r="1631" spans="4:7">
      <c r="D1631" s="11"/>
      <c r="E1631" s="11"/>
      <c r="F1631" s="11"/>
      <c r="G1631" s="11"/>
    </row>
    <row r="1632" spans="4:7">
      <c r="D1632" s="11"/>
      <c r="E1632" s="11"/>
      <c r="F1632" s="11"/>
      <c r="G1632" s="11"/>
    </row>
    <row r="1633" spans="4:7">
      <c r="D1633" s="11"/>
      <c r="E1633" s="11"/>
      <c r="F1633" s="11"/>
      <c r="G1633" s="11"/>
    </row>
    <row r="1634" spans="4:7">
      <c r="D1634" s="11"/>
      <c r="E1634" s="11"/>
      <c r="F1634" s="11"/>
      <c r="G1634" s="11"/>
    </row>
    <row r="1635" spans="4:7">
      <c r="D1635" s="11"/>
      <c r="E1635" s="11"/>
      <c r="F1635" s="11"/>
      <c r="G1635" s="11"/>
    </row>
    <row r="1636" spans="4:7">
      <c r="D1636" s="11"/>
      <c r="E1636" s="11"/>
      <c r="F1636" s="11"/>
      <c r="G1636" s="11"/>
    </row>
    <row r="1637" spans="4:7">
      <c r="D1637" s="11"/>
      <c r="E1637" s="11"/>
      <c r="F1637" s="11"/>
      <c r="G1637" s="11"/>
    </row>
    <row r="1638" spans="4:7">
      <c r="D1638" s="11"/>
      <c r="E1638" s="11"/>
      <c r="F1638" s="11"/>
      <c r="G1638" s="11"/>
    </row>
    <row r="1639" spans="4:7">
      <c r="D1639" s="11"/>
      <c r="E1639" s="11"/>
      <c r="F1639" s="11"/>
      <c r="G1639" s="11"/>
    </row>
    <row r="1640" spans="4:7">
      <c r="D1640" s="11"/>
      <c r="E1640" s="11"/>
      <c r="F1640" s="11"/>
      <c r="G1640" s="11"/>
    </row>
    <row r="1641" spans="4:7">
      <c r="D1641" s="11"/>
      <c r="E1641" s="11"/>
      <c r="F1641" s="11"/>
      <c r="G1641" s="11"/>
    </row>
    <row r="1642" spans="4:7">
      <c r="D1642" s="11"/>
      <c r="E1642" s="11"/>
      <c r="F1642" s="11"/>
      <c r="G1642" s="11"/>
    </row>
    <row r="1643" spans="4:7">
      <c r="D1643" s="11"/>
      <c r="E1643" s="11"/>
      <c r="F1643" s="11"/>
      <c r="G1643" s="11"/>
    </row>
    <row r="1644" spans="4:7">
      <c r="D1644" s="11"/>
      <c r="E1644" s="11"/>
      <c r="F1644" s="11"/>
      <c r="G1644" s="11"/>
    </row>
    <row r="1645" spans="4:7">
      <c r="D1645" s="11"/>
      <c r="E1645" s="11"/>
      <c r="F1645" s="11"/>
      <c r="G1645" s="11"/>
    </row>
    <row r="1646" spans="4:7">
      <c r="D1646" s="11"/>
      <c r="E1646" s="11"/>
      <c r="F1646" s="11"/>
      <c r="G1646" s="11"/>
    </row>
    <row r="1647" spans="4:7">
      <c r="D1647" s="11"/>
      <c r="E1647" s="11"/>
      <c r="F1647" s="11"/>
      <c r="G1647" s="11"/>
    </row>
    <row r="1648" spans="4:7">
      <c r="D1648" s="11"/>
      <c r="E1648" s="11"/>
      <c r="F1648" s="11"/>
      <c r="G1648" s="11"/>
    </row>
    <row r="1649" spans="4:7">
      <c r="D1649" s="11"/>
      <c r="E1649" s="11"/>
      <c r="F1649" s="11"/>
      <c r="G1649" s="11"/>
    </row>
    <row r="1650" spans="4:7">
      <c r="D1650" s="11"/>
      <c r="E1650" s="11"/>
      <c r="F1650" s="11"/>
      <c r="G1650" s="11"/>
    </row>
    <row r="1651" spans="4:7">
      <c r="D1651" s="11"/>
      <c r="E1651" s="11"/>
      <c r="F1651" s="11"/>
      <c r="G1651" s="11"/>
    </row>
    <row r="1652" spans="4:7">
      <c r="D1652" s="11"/>
      <c r="E1652" s="11"/>
      <c r="F1652" s="11"/>
      <c r="G1652" s="11"/>
    </row>
    <row r="1653" spans="4:7">
      <c r="D1653" s="11"/>
      <c r="E1653" s="11"/>
      <c r="F1653" s="11"/>
      <c r="G1653" s="11"/>
    </row>
    <row r="1654" spans="4:7">
      <c r="D1654" s="11"/>
      <c r="E1654" s="11"/>
      <c r="F1654" s="11"/>
      <c r="G1654" s="11"/>
    </row>
    <row r="1655" spans="4:7">
      <c r="D1655" s="11"/>
      <c r="E1655" s="11"/>
      <c r="F1655" s="11"/>
      <c r="G1655" s="11"/>
    </row>
    <row r="1656" spans="4:7">
      <c r="D1656" s="11"/>
      <c r="E1656" s="11"/>
      <c r="F1656" s="11"/>
      <c r="G1656" s="11"/>
    </row>
    <row r="1657" spans="4:7">
      <c r="D1657" s="11"/>
      <c r="E1657" s="11"/>
      <c r="F1657" s="11"/>
      <c r="G1657" s="11"/>
    </row>
    <row r="1658" spans="4:7">
      <c r="D1658" s="11"/>
      <c r="E1658" s="11"/>
      <c r="F1658" s="11"/>
      <c r="G1658" s="11"/>
    </row>
    <row r="1659" spans="4:7">
      <c r="D1659" s="11"/>
      <c r="E1659" s="11"/>
      <c r="F1659" s="11"/>
      <c r="G1659" s="11"/>
    </row>
    <row r="1660" spans="4:7">
      <c r="D1660" s="11"/>
      <c r="E1660" s="11"/>
      <c r="F1660" s="11"/>
      <c r="G1660" s="11"/>
    </row>
    <row r="1661" spans="4:7">
      <c r="D1661" s="11"/>
      <c r="E1661" s="11"/>
      <c r="F1661" s="11"/>
      <c r="G1661" s="11"/>
    </row>
    <row r="1662" spans="4:7">
      <c r="D1662" s="11"/>
      <c r="E1662" s="11"/>
      <c r="F1662" s="11"/>
      <c r="G1662" s="11"/>
    </row>
    <row r="1663" spans="4:7">
      <c r="D1663" s="11"/>
      <c r="E1663" s="11"/>
      <c r="F1663" s="11"/>
      <c r="G1663" s="11"/>
    </row>
    <row r="1664" spans="4:7">
      <c r="D1664" s="11"/>
      <c r="E1664" s="11"/>
      <c r="F1664" s="11"/>
      <c r="G1664" s="11"/>
    </row>
    <row r="1665" spans="4:7">
      <c r="D1665" s="11"/>
      <c r="E1665" s="11"/>
      <c r="F1665" s="11"/>
      <c r="G1665" s="11"/>
    </row>
    <row r="1666" spans="4:7">
      <c r="D1666" s="11"/>
      <c r="E1666" s="11"/>
      <c r="F1666" s="11"/>
      <c r="G1666" s="11"/>
    </row>
    <row r="1667" spans="4:7">
      <c r="D1667" s="11"/>
      <c r="E1667" s="11"/>
      <c r="F1667" s="11"/>
      <c r="G1667" s="11"/>
    </row>
    <row r="1668" spans="4:7">
      <c r="D1668" s="11"/>
      <c r="E1668" s="11"/>
      <c r="F1668" s="11"/>
      <c r="G1668" s="11"/>
    </row>
    <row r="1669" spans="4:7">
      <c r="D1669" s="11"/>
      <c r="E1669" s="11"/>
      <c r="F1669" s="11"/>
      <c r="G1669" s="11"/>
    </row>
    <row r="1670" spans="4:7">
      <c r="D1670" s="11"/>
      <c r="E1670" s="11"/>
      <c r="F1670" s="11"/>
      <c r="G1670" s="11"/>
    </row>
    <row r="1671" spans="4:7">
      <c r="D1671" s="11"/>
      <c r="E1671" s="11"/>
      <c r="F1671" s="11"/>
      <c r="G1671" s="11"/>
    </row>
    <row r="1672" spans="4:7">
      <c r="D1672" s="11"/>
      <c r="E1672" s="11"/>
      <c r="F1672" s="11"/>
      <c r="G1672" s="11"/>
    </row>
    <row r="1673" spans="4:7">
      <c r="D1673" s="11"/>
      <c r="E1673" s="11"/>
      <c r="F1673" s="11"/>
      <c r="G1673" s="11"/>
    </row>
    <row r="1674" spans="4:7">
      <c r="D1674" s="11"/>
      <c r="E1674" s="11"/>
      <c r="F1674" s="11"/>
      <c r="G1674" s="11"/>
    </row>
    <row r="1675" spans="4:7">
      <c r="D1675" s="11"/>
      <c r="E1675" s="11"/>
      <c r="F1675" s="11"/>
      <c r="G1675" s="11"/>
    </row>
    <row r="1676" spans="4:7">
      <c r="D1676" s="11"/>
      <c r="E1676" s="11"/>
      <c r="F1676" s="11"/>
      <c r="G1676" s="11"/>
    </row>
    <row r="1677" spans="4:7">
      <c r="D1677" s="11"/>
      <c r="E1677" s="11"/>
      <c r="F1677" s="11"/>
      <c r="G1677" s="11"/>
    </row>
    <row r="1678" spans="4:7">
      <c r="D1678" s="11"/>
      <c r="E1678" s="11"/>
      <c r="F1678" s="11"/>
      <c r="G1678" s="11"/>
    </row>
    <row r="1679" spans="4:7">
      <c r="D1679" s="11"/>
      <c r="E1679" s="11"/>
      <c r="F1679" s="11"/>
      <c r="G1679" s="11"/>
    </row>
    <row r="1680" spans="4:7">
      <c r="D1680" s="11"/>
      <c r="E1680" s="11"/>
      <c r="F1680" s="11"/>
      <c r="G1680" s="11"/>
    </row>
    <row r="1681" spans="4:7">
      <c r="D1681" s="11"/>
      <c r="E1681" s="11"/>
      <c r="F1681" s="11"/>
      <c r="G1681" s="11"/>
    </row>
    <row r="1682" spans="4:7">
      <c r="D1682" s="11"/>
      <c r="E1682" s="11"/>
      <c r="F1682" s="11"/>
      <c r="G1682" s="11"/>
    </row>
    <row r="1683" spans="4:7">
      <c r="D1683" s="11"/>
      <c r="E1683" s="11"/>
      <c r="F1683" s="11"/>
      <c r="G1683" s="11"/>
    </row>
    <row r="1684" spans="4:7">
      <c r="D1684" s="11"/>
      <c r="E1684" s="11"/>
      <c r="F1684" s="11"/>
      <c r="G1684" s="11"/>
    </row>
    <row r="1685" spans="4:7">
      <c r="D1685" s="11"/>
      <c r="E1685" s="11"/>
      <c r="F1685" s="11"/>
      <c r="G1685" s="11"/>
    </row>
    <row r="1686" spans="4:7">
      <c r="D1686" s="11"/>
      <c r="E1686" s="11"/>
      <c r="F1686" s="11"/>
      <c r="G1686" s="11"/>
    </row>
    <row r="1687" spans="4:7">
      <c r="D1687" s="11"/>
      <c r="E1687" s="11"/>
      <c r="F1687" s="11"/>
      <c r="G1687" s="11"/>
    </row>
    <row r="1688" spans="4:7">
      <c r="D1688" s="11"/>
      <c r="E1688" s="11"/>
      <c r="F1688" s="11"/>
      <c r="G1688" s="11"/>
    </row>
    <row r="1689" spans="4:7">
      <c r="D1689" s="11"/>
      <c r="E1689" s="11"/>
      <c r="F1689" s="11"/>
      <c r="G1689" s="11"/>
    </row>
    <row r="1690" spans="4:7">
      <c r="D1690" s="11"/>
      <c r="E1690" s="11"/>
      <c r="F1690" s="11"/>
      <c r="G1690" s="11"/>
    </row>
    <row r="1691" spans="4:7">
      <c r="D1691" s="11"/>
      <c r="E1691" s="11"/>
      <c r="F1691" s="11"/>
      <c r="G1691" s="11"/>
    </row>
    <row r="1692" spans="4:7">
      <c r="D1692" s="11"/>
      <c r="E1692" s="11"/>
      <c r="F1692" s="11"/>
      <c r="G1692" s="11"/>
    </row>
    <row r="1693" spans="4:7">
      <c r="D1693" s="11"/>
      <c r="E1693" s="11"/>
      <c r="F1693" s="11"/>
      <c r="G1693" s="11"/>
    </row>
    <row r="1694" spans="4:7">
      <c r="D1694" s="11"/>
      <c r="E1694" s="11"/>
      <c r="F1694" s="11"/>
      <c r="G1694" s="11"/>
    </row>
    <row r="1695" spans="4:7">
      <c r="D1695" s="11"/>
      <c r="E1695" s="11"/>
      <c r="F1695" s="11"/>
      <c r="G1695" s="11"/>
    </row>
    <row r="1696" spans="4:7">
      <c r="D1696" s="11"/>
      <c r="E1696" s="11"/>
      <c r="F1696" s="11"/>
      <c r="G1696" s="11"/>
    </row>
    <row r="1697" spans="4:7">
      <c r="D1697" s="11"/>
      <c r="E1697" s="11"/>
      <c r="F1697" s="11"/>
      <c r="G1697" s="11"/>
    </row>
    <row r="1698" spans="4:7">
      <c r="D1698" s="11"/>
      <c r="E1698" s="11"/>
      <c r="F1698" s="11"/>
      <c r="G1698" s="11"/>
    </row>
    <row r="1699" spans="4:7">
      <c r="D1699" s="11"/>
      <c r="E1699" s="11"/>
      <c r="F1699" s="11"/>
      <c r="G1699" s="11"/>
    </row>
    <row r="1700" spans="4:7">
      <c r="D1700" s="11"/>
      <c r="E1700" s="11"/>
      <c r="F1700" s="11"/>
      <c r="G1700" s="11"/>
    </row>
    <row r="1701" spans="4:7">
      <c r="D1701" s="11"/>
      <c r="E1701" s="11"/>
      <c r="F1701" s="11"/>
      <c r="G1701" s="11"/>
    </row>
    <row r="1702" spans="4:7">
      <c r="D1702" s="11"/>
      <c r="E1702" s="11"/>
      <c r="F1702" s="11"/>
      <c r="G1702" s="11"/>
    </row>
    <row r="1703" spans="4:7">
      <c r="D1703" s="11"/>
      <c r="E1703" s="11"/>
      <c r="F1703" s="11"/>
      <c r="G1703" s="11"/>
    </row>
    <row r="1704" spans="4:7">
      <c r="D1704" s="11"/>
      <c r="E1704" s="11"/>
      <c r="F1704" s="11"/>
      <c r="G1704" s="11"/>
    </row>
    <row r="1705" spans="4:7">
      <c r="D1705" s="11"/>
      <c r="E1705" s="11"/>
      <c r="F1705" s="11"/>
      <c r="G1705" s="11"/>
    </row>
    <row r="1706" spans="4:7">
      <c r="D1706" s="11"/>
      <c r="E1706" s="11"/>
      <c r="F1706" s="11"/>
      <c r="G1706" s="11"/>
    </row>
    <row r="1707" spans="4:7">
      <c r="D1707" s="11"/>
      <c r="E1707" s="11"/>
      <c r="F1707" s="11"/>
      <c r="G1707" s="11"/>
    </row>
    <row r="1708" spans="4:7">
      <c r="D1708" s="11"/>
      <c r="E1708" s="11"/>
      <c r="F1708" s="11"/>
      <c r="G1708" s="11"/>
    </row>
    <row r="1709" spans="4:7">
      <c r="D1709" s="11"/>
      <c r="E1709" s="11"/>
      <c r="F1709" s="11"/>
      <c r="G1709" s="11"/>
    </row>
    <row r="1710" spans="4:7">
      <c r="D1710" s="11"/>
      <c r="E1710" s="11"/>
      <c r="F1710" s="11"/>
      <c r="G1710" s="11"/>
    </row>
    <row r="1711" spans="4:7">
      <c r="D1711" s="11"/>
      <c r="E1711" s="11"/>
      <c r="F1711" s="11"/>
      <c r="G1711" s="11"/>
    </row>
    <row r="1712" spans="4:7">
      <c r="D1712" s="11"/>
      <c r="E1712" s="11"/>
      <c r="F1712" s="11"/>
      <c r="G1712" s="11"/>
    </row>
    <row r="1713" spans="4:7">
      <c r="D1713" s="11"/>
      <c r="E1713" s="11"/>
      <c r="F1713" s="11"/>
      <c r="G1713" s="11"/>
    </row>
    <row r="1714" spans="4:7">
      <c r="D1714" s="11"/>
      <c r="E1714" s="11"/>
      <c r="F1714" s="11"/>
      <c r="G1714" s="11"/>
    </row>
    <row r="1715" spans="4:7">
      <c r="D1715" s="11"/>
      <c r="E1715" s="11"/>
      <c r="F1715" s="11"/>
      <c r="G1715" s="11"/>
    </row>
    <row r="1716" spans="4:7">
      <c r="D1716" s="11"/>
      <c r="E1716" s="11"/>
      <c r="F1716" s="11"/>
      <c r="G1716" s="11"/>
    </row>
    <row r="1717" spans="4:7">
      <c r="D1717" s="11"/>
      <c r="E1717" s="11"/>
      <c r="F1717" s="11"/>
      <c r="G1717" s="11"/>
    </row>
    <row r="1718" spans="4:7">
      <c r="D1718" s="11"/>
      <c r="E1718" s="11"/>
      <c r="F1718" s="11"/>
      <c r="G1718" s="11"/>
    </row>
    <row r="1719" spans="4:7">
      <c r="D1719" s="11"/>
      <c r="E1719" s="11"/>
      <c r="F1719" s="11"/>
      <c r="G1719" s="11"/>
    </row>
    <row r="1720" spans="4:7">
      <c r="D1720" s="11"/>
      <c r="E1720" s="11"/>
      <c r="F1720" s="11"/>
      <c r="G1720" s="11"/>
    </row>
    <row r="1721" spans="4:7">
      <c r="D1721" s="11"/>
      <c r="E1721" s="11"/>
      <c r="F1721" s="11"/>
      <c r="G1721" s="11"/>
    </row>
    <row r="1722" spans="4:7">
      <c r="D1722" s="11"/>
      <c r="E1722" s="11"/>
      <c r="F1722" s="11"/>
      <c r="G1722" s="11"/>
    </row>
    <row r="1723" spans="4:7">
      <c r="D1723" s="11"/>
      <c r="E1723" s="11"/>
      <c r="F1723" s="11"/>
      <c r="G1723" s="11"/>
    </row>
    <row r="1724" spans="4:7">
      <c r="D1724" s="11"/>
      <c r="E1724" s="11"/>
      <c r="F1724" s="11"/>
      <c r="G1724" s="11"/>
    </row>
    <row r="1725" spans="4:7">
      <c r="D1725" s="11"/>
      <c r="E1725" s="11"/>
      <c r="F1725" s="11"/>
      <c r="G1725" s="11"/>
    </row>
    <row r="1726" spans="4:7">
      <c r="D1726" s="11"/>
      <c r="E1726" s="11"/>
      <c r="F1726" s="11"/>
      <c r="G1726" s="11"/>
    </row>
    <row r="1727" spans="4:7">
      <c r="D1727" s="11"/>
      <c r="E1727" s="11"/>
      <c r="F1727" s="11"/>
      <c r="G1727" s="11"/>
    </row>
    <row r="1728" spans="4:7">
      <c r="D1728" s="11"/>
      <c r="E1728" s="11"/>
      <c r="F1728" s="11"/>
      <c r="G1728" s="11"/>
    </row>
    <row r="1729" spans="4:7">
      <c r="D1729" s="11"/>
      <c r="E1729" s="11"/>
      <c r="F1729" s="11"/>
      <c r="G1729" s="11"/>
    </row>
    <row r="1730" spans="4:7">
      <c r="D1730" s="11"/>
      <c r="E1730" s="11"/>
      <c r="F1730" s="11"/>
      <c r="G1730" s="11"/>
    </row>
    <row r="1731" spans="4:7">
      <c r="D1731" s="11"/>
      <c r="E1731" s="11"/>
      <c r="F1731" s="11"/>
      <c r="G1731" s="11"/>
    </row>
    <row r="1732" spans="4:7">
      <c r="D1732" s="11"/>
      <c r="E1732" s="11"/>
      <c r="F1732" s="11"/>
      <c r="G1732" s="11"/>
    </row>
    <row r="1733" spans="4:7">
      <c r="D1733" s="11"/>
      <c r="E1733" s="11"/>
      <c r="F1733" s="11"/>
      <c r="G1733" s="11"/>
    </row>
    <row r="1734" spans="4:7">
      <c r="D1734" s="11"/>
      <c r="E1734" s="11"/>
      <c r="F1734" s="11"/>
      <c r="G1734" s="11"/>
    </row>
    <row r="1735" spans="4:7">
      <c r="D1735" s="11"/>
      <c r="E1735" s="11"/>
      <c r="F1735" s="11"/>
      <c r="G1735" s="11"/>
    </row>
    <row r="1736" spans="4:7">
      <c r="D1736" s="11"/>
      <c r="E1736" s="11"/>
      <c r="F1736" s="11"/>
      <c r="G1736" s="11"/>
    </row>
    <row r="1737" spans="4:7">
      <c r="D1737" s="11"/>
      <c r="E1737" s="11"/>
      <c r="F1737" s="11"/>
      <c r="G1737" s="11"/>
    </row>
    <row r="1738" spans="4:7">
      <c r="D1738" s="11"/>
      <c r="E1738" s="11"/>
      <c r="F1738" s="11"/>
      <c r="G1738" s="11"/>
    </row>
    <row r="1739" spans="4:7">
      <c r="D1739" s="11"/>
      <c r="E1739" s="11"/>
      <c r="F1739" s="11"/>
      <c r="G1739" s="11"/>
    </row>
    <row r="1740" spans="4:7">
      <c r="D1740" s="11"/>
      <c r="E1740" s="11"/>
      <c r="F1740" s="11"/>
      <c r="G1740" s="11"/>
    </row>
    <row r="1741" spans="4:7">
      <c r="D1741" s="11"/>
      <c r="E1741" s="11"/>
      <c r="F1741" s="11"/>
      <c r="G1741" s="11"/>
    </row>
    <row r="1742" spans="4:7">
      <c r="D1742" s="11"/>
      <c r="E1742" s="11"/>
      <c r="F1742" s="11"/>
      <c r="G1742" s="11"/>
    </row>
    <row r="1743" spans="4:7">
      <c r="D1743" s="11"/>
      <c r="E1743" s="11"/>
      <c r="F1743" s="11"/>
      <c r="G1743" s="11"/>
    </row>
    <row r="1744" spans="4:7">
      <c r="D1744" s="11"/>
      <c r="E1744" s="11"/>
      <c r="F1744" s="11"/>
      <c r="G1744" s="11"/>
    </row>
    <row r="1745" spans="4:7">
      <c r="D1745" s="11"/>
      <c r="E1745" s="11"/>
      <c r="F1745" s="11"/>
      <c r="G1745" s="11"/>
    </row>
    <row r="1746" spans="4:7">
      <c r="D1746" s="11"/>
      <c r="E1746" s="11"/>
      <c r="F1746" s="11"/>
      <c r="G1746" s="11"/>
    </row>
    <row r="1747" spans="4:7">
      <c r="D1747" s="11"/>
      <c r="E1747" s="11"/>
      <c r="F1747" s="11"/>
      <c r="G1747" s="11"/>
    </row>
    <row r="1748" spans="4:7">
      <c r="D1748" s="11"/>
      <c r="E1748" s="11"/>
      <c r="F1748" s="11"/>
      <c r="G1748" s="11"/>
    </row>
    <row r="1749" spans="4:7">
      <c r="D1749" s="11"/>
      <c r="E1749" s="11"/>
      <c r="F1749" s="11"/>
      <c r="G1749" s="11"/>
    </row>
    <row r="1750" spans="4:7">
      <c r="D1750" s="11"/>
      <c r="E1750" s="11"/>
      <c r="F1750" s="11"/>
      <c r="G1750" s="11"/>
    </row>
    <row r="1751" spans="4:7">
      <c r="D1751" s="11"/>
      <c r="E1751" s="11"/>
      <c r="F1751" s="11"/>
      <c r="G1751" s="11"/>
    </row>
    <row r="1752" spans="4:7">
      <c r="D1752" s="11"/>
      <c r="E1752" s="11"/>
      <c r="F1752" s="11"/>
      <c r="G1752" s="11"/>
    </row>
    <row r="1753" spans="4:7">
      <c r="D1753" s="11"/>
      <c r="E1753" s="11"/>
      <c r="F1753" s="11"/>
      <c r="G1753" s="11"/>
    </row>
    <row r="1754" spans="4:7">
      <c r="D1754" s="11"/>
      <c r="E1754" s="11"/>
      <c r="F1754" s="11"/>
      <c r="G1754" s="11"/>
    </row>
    <row r="1755" spans="4:7">
      <c r="D1755" s="11"/>
      <c r="E1755" s="11"/>
      <c r="F1755" s="11"/>
      <c r="G1755" s="11"/>
    </row>
    <row r="1756" spans="4:7">
      <c r="D1756" s="11"/>
      <c r="E1756" s="11"/>
      <c r="F1756" s="11"/>
      <c r="G1756" s="11"/>
    </row>
    <row r="1757" spans="4:7">
      <c r="D1757" s="11"/>
      <c r="E1757" s="11"/>
      <c r="F1757" s="11"/>
      <c r="G1757" s="11"/>
    </row>
    <row r="1758" spans="4:7">
      <c r="D1758" s="11"/>
      <c r="E1758" s="11"/>
      <c r="F1758" s="11"/>
      <c r="G1758" s="11"/>
    </row>
    <row r="1759" spans="4:7">
      <c r="D1759" s="11"/>
      <c r="E1759" s="11"/>
      <c r="F1759" s="11"/>
      <c r="G1759" s="11"/>
    </row>
    <row r="1760" spans="4:7">
      <c r="D1760" s="11"/>
      <c r="E1760" s="11"/>
      <c r="F1760" s="11"/>
      <c r="G1760" s="11"/>
    </row>
    <row r="1761" spans="4:7">
      <c r="D1761" s="11"/>
      <c r="E1761" s="11"/>
      <c r="F1761" s="11"/>
      <c r="G1761" s="11"/>
    </row>
    <row r="1762" spans="4:7">
      <c r="D1762" s="11"/>
      <c r="E1762" s="11"/>
      <c r="F1762" s="11"/>
      <c r="G1762" s="11"/>
    </row>
    <row r="1763" spans="4:7">
      <c r="D1763" s="11"/>
      <c r="E1763" s="11"/>
      <c r="F1763" s="11"/>
      <c r="G1763" s="11"/>
    </row>
    <row r="1764" spans="4:7">
      <c r="D1764" s="11"/>
      <c r="E1764" s="11"/>
      <c r="F1764" s="11"/>
      <c r="G1764" s="11"/>
    </row>
    <row r="1765" spans="4:7">
      <c r="D1765" s="11"/>
      <c r="E1765" s="11"/>
      <c r="F1765" s="11"/>
      <c r="G1765" s="11"/>
    </row>
    <row r="1766" spans="4:7">
      <c r="D1766" s="11"/>
      <c r="E1766" s="11"/>
      <c r="F1766" s="11"/>
      <c r="G1766" s="11"/>
    </row>
    <row r="1767" spans="4:7">
      <c r="D1767" s="11"/>
      <c r="E1767" s="11"/>
      <c r="F1767" s="11"/>
      <c r="G1767" s="11"/>
    </row>
    <row r="1768" spans="4:7">
      <c r="D1768" s="11"/>
      <c r="E1768" s="11"/>
      <c r="F1768" s="11"/>
      <c r="G1768" s="11"/>
    </row>
    <row r="1769" spans="4:7">
      <c r="D1769" s="11"/>
      <c r="E1769" s="11"/>
      <c r="F1769" s="11"/>
      <c r="G1769" s="11"/>
    </row>
    <row r="1770" spans="4:7">
      <c r="D1770" s="11"/>
      <c r="E1770" s="11"/>
      <c r="F1770" s="11"/>
      <c r="G1770" s="11"/>
    </row>
    <row r="1771" spans="4:7">
      <c r="D1771" s="11"/>
      <c r="E1771" s="11"/>
      <c r="F1771" s="11"/>
      <c r="G1771" s="11"/>
    </row>
    <row r="1772" spans="4:7">
      <c r="D1772" s="11"/>
      <c r="E1772" s="11"/>
      <c r="F1772" s="11"/>
      <c r="G1772" s="11"/>
    </row>
    <row r="1773" spans="4:7">
      <c r="D1773" s="11"/>
      <c r="E1773" s="11"/>
      <c r="F1773" s="11"/>
      <c r="G1773" s="11"/>
    </row>
    <row r="1774" spans="4:7">
      <c r="D1774" s="11"/>
      <c r="E1774" s="11"/>
      <c r="F1774" s="11"/>
      <c r="G1774" s="11"/>
    </row>
    <row r="1775" spans="4:7">
      <c r="D1775" s="11"/>
      <c r="E1775" s="11"/>
      <c r="F1775" s="11"/>
      <c r="G1775" s="11"/>
    </row>
    <row r="1776" spans="4:7">
      <c r="D1776" s="11"/>
      <c r="E1776" s="11"/>
      <c r="F1776" s="11"/>
      <c r="G1776" s="11"/>
    </row>
    <row r="1777" spans="4:7">
      <c r="D1777" s="11"/>
      <c r="E1777" s="11"/>
      <c r="F1777" s="11"/>
      <c r="G1777" s="11"/>
    </row>
    <row r="1778" spans="4:7">
      <c r="D1778" s="11"/>
      <c r="E1778" s="11"/>
      <c r="F1778" s="11"/>
      <c r="G1778" s="11"/>
    </row>
    <row r="1779" spans="4:7">
      <c r="D1779" s="11"/>
      <c r="E1779" s="11"/>
      <c r="F1779" s="11"/>
      <c r="G1779" s="11"/>
    </row>
    <row r="1780" spans="4:7">
      <c r="D1780" s="11"/>
      <c r="E1780" s="11"/>
      <c r="F1780" s="11"/>
      <c r="G1780" s="11"/>
    </row>
    <row r="1781" spans="4:7">
      <c r="D1781" s="11"/>
      <c r="E1781" s="11"/>
      <c r="F1781" s="11"/>
      <c r="G1781" s="11"/>
    </row>
    <row r="1782" spans="4:7">
      <c r="D1782" s="11"/>
      <c r="E1782" s="11"/>
      <c r="F1782" s="11"/>
      <c r="G1782" s="11"/>
    </row>
    <row r="1783" spans="4:7">
      <c r="D1783" s="11"/>
      <c r="E1783" s="11"/>
      <c r="F1783" s="11"/>
      <c r="G1783" s="11"/>
    </row>
    <row r="1784" spans="4:7">
      <c r="D1784" s="11"/>
      <c r="E1784" s="11"/>
      <c r="F1784" s="11"/>
      <c r="G1784" s="11"/>
    </row>
    <row r="1785" spans="4:7">
      <c r="D1785" s="11"/>
      <c r="E1785" s="11"/>
      <c r="F1785" s="11"/>
      <c r="G1785" s="11"/>
    </row>
    <row r="1786" spans="4:7">
      <c r="D1786" s="11"/>
      <c r="E1786" s="11"/>
      <c r="F1786" s="11"/>
      <c r="G1786" s="11"/>
    </row>
    <row r="1787" spans="4:7">
      <c r="D1787" s="11"/>
      <c r="E1787" s="11"/>
      <c r="F1787" s="11"/>
      <c r="G1787" s="11"/>
    </row>
    <row r="1788" spans="4:7">
      <c r="D1788" s="11"/>
      <c r="E1788" s="11"/>
      <c r="F1788" s="11"/>
      <c r="G1788" s="11"/>
    </row>
    <row r="1789" spans="4:7">
      <c r="D1789" s="11"/>
      <c r="E1789" s="11"/>
      <c r="F1789" s="11"/>
      <c r="G1789" s="11"/>
    </row>
    <row r="1790" spans="4:7">
      <c r="D1790" s="11"/>
      <c r="E1790" s="11"/>
      <c r="F1790" s="11"/>
      <c r="G1790" s="11"/>
    </row>
    <row r="1791" spans="4:7">
      <c r="D1791" s="11"/>
      <c r="E1791" s="11"/>
      <c r="F1791" s="11"/>
      <c r="G1791" s="11"/>
    </row>
    <row r="1792" spans="4:7">
      <c r="D1792" s="11"/>
      <c r="E1792" s="11"/>
      <c r="F1792" s="11"/>
      <c r="G1792" s="11"/>
    </row>
    <row r="1793" spans="4:7">
      <c r="D1793" s="11"/>
      <c r="E1793" s="11"/>
      <c r="F1793" s="11"/>
      <c r="G1793" s="11"/>
    </row>
    <row r="1794" spans="4:7">
      <c r="D1794" s="11"/>
      <c r="E1794" s="11"/>
      <c r="F1794" s="11"/>
      <c r="G1794" s="11"/>
    </row>
    <row r="1795" spans="4:7">
      <c r="D1795" s="11"/>
      <c r="E1795" s="11"/>
      <c r="F1795" s="11"/>
      <c r="G1795" s="11"/>
    </row>
    <row r="1796" spans="4:7">
      <c r="D1796" s="11"/>
      <c r="E1796" s="11"/>
      <c r="F1796" s="11"/>
      <c r="G1796" s="11"/>
    </row>
    <row r="1797" spans="4:7">
      <c r="D1797" s="11"/>
      <c r="E1797" s="11"/>
      <c r="F1797" s="11"/>
      <c r="G1797" s="11"/>
    </row>
    <row r="1798" spans="4:7">
      <c r="D1798" s="11"/>
      <c r="E1798" s="11"/>
      <c r="F1798" s="11"/>
      <c r="G1798" s="11"/>
    </row>
    <row r="1799" spans="4:7">
      <c r="D1799" s="11"/>
      <c r="E1799" s="11"/>
      <c r="F1799" s="11"/>
      <c r="G1799" s="11"/>
    </row>
    <row r="1800" spans="4:7">
      <c r="D1800" s="11"/>
      <c r="E1800" s="11"/>
      <c r="F1800" s="11"/>
      <c r="G1800" s="11"/>
    </row>
    <row r="1801" spans="4:7">
      <c r="D1801" s="11"/>
      <c r="E1801" s="11"/>
      <c r="F1801" s="11"/>
      <c r="G1801" s="11"/>
    </row>
    <row r="1802" spans="4:7">
      <c r="D1802" s="11"/>
      <c r="E1802" s="11"/>
      <c r="F1802" s="11"/>
      <c r="G1802" s="11"/>
    </row>
    <row r="1803" spans="4:7">
      <c r="D1803" s="11"/>
      <c r="E1803" s="11"/>
      <c r="F1803" s="11"/>
      <c r="G1803" s="11"/>
    </row>
    <row r="1804" spans="4:7">
      <c r="D1804" s="11"/>
      <c r="E1804" s="11"/>
      <c r="F1804" s="11"/>
      <c r="G1804" s="11"/>
    </row>
    <row r="1805" spans="4:7">
      <c r="D1805" s="11"/>
      <c r="E1805" s="11"/>
      <c r="F1805" s="11"/>
      <c r="G1805" s="11"/>
    </row>
    <row r="1806" spans="4:7">
      <c r="D1806" s="11"/>
      <c r="E1806" s="11"/>
      <c r="F1806" s="11"/>
      <c r="G1806" s="11"/>
    </row>
    <row r="1807" spans="4:7">
      <c r="D1807" s="11"/>
      <c r="E1807" s="11"/>
      <c r="F1807" s="11"/>
      <c r="G1807" s="11"/>
    </row>
    <row r="1808" spans="4:7">
      <c r="D1808" s="11"/>
      <c r="E1808" s="11"/>
      <c r="F1808" s="11"/>
      <c r="G1808" s="11"/>
    </row>
    <row r="1809" spans="4:7">
      <c r="D1809" s="11"/>
      <c r="E1809" s="11"/>
      <c r="F1809" s="11"/>
      <c r="G1809" s="11"/>
    </row>
    <row r="1810" spans="4:7">
      <c r="D1810" s="11"/>
      <c r="E1810" s="11"/>
      <c r="F1810" s="11"/>
      <c r="G1810" s="11"/>
    </row>
    <row r="1811" spans="4:7">
      <c r="D1811" s="11"/>
      <c r="E1811" s="11"/>
      <c r="F1811" s="11"/>
      <c r="G1811" s="11"/>
    </row>
    <row r="1812" spans="4:7">
      <c r="D1812" s="11"/>
      <c r="E1812" s="11"/>
      <c r="F1812" s="11"/>
      <c r="G1812" s="11"/>
    </row>
    <row r="1813" spans="4:7">
      <c r="D1813" s="11"/>
      <c r="E1813" s="11"/>
      <c r="F1813" s="11"/>
      <c r="G1813" s="11"/>
    </row>
    <row r="1814" spans="4:7">
      <c r="D1814" s="11"/>
      <c r="E1814" s="11"/>
      <c r="F1814" s="11"/>
      <c r="G1814" s="11"/>
    </row>
    <row r="1815" spans="4:7">
      <c r="D1815" s="11"/>
      <c r="E1815" s="11"/>
      <c r="F1815" s="11"/>
      <c r="G1815" s="11"/>
    </row>
    <row r="1816" spans="4:7">
      <c r="D1816" s="11"/>
      <c r="E1816" s="11"/>
      <c r="F1816" s="11"/>
      <c r="G1816" s="11"/>
    </row>
    <row r="1817" spans="4:7">
      <c r="D1817" s="11"/>
      <c r="E1817" s="11"/>
      <c r="F1817" s="11"/>
      <c r="G1817" s="11"/>
    </row>
    <row r="1818" spans="4:7">
      <c r="D1818" s="11"/>
      <c r="E1818" s="11"/>
      <c r="F1818" s="11"/>
      <c r="G1818" s="11"/>
    </row>
    <row r="1819" spans="4:7">
      <c r="D1819" s="11"/>
      <c r="E1819" s="11"/>
      <c r="F1819" s="11"/>
      <c r="G1819" s="11"/>
    </row>
    <row r="1820" spans="4:7">
      <c r="D1820" s="11"/>
      <c r="E1820" s="11"/>
      <c r="F1820" s="11"/>
      <c r="G1820" s="11"/>
    </row>
    <row r="1821" spans="4:7">
      <c r="D1821" s="11"/>
      <c r="E1821" s="11"/>
      <c r="F1821" s="11"/>
      <c r="G1821" s="11"/>
    </row>
    <row r="1822" spans="4:7">
      <c r="D1822" s="11"/>
      <c r="E1822" s="11"/>
      <c r="F1822" s="11"/>
      <c r="G1822" s="11"/>
    </row>
    <row r="1823" spans="4:7">
      <c r="D1823" s="11"/>
      <c r="E1823" s="11"/>
      <c r="F1823" s="11"/>
      <c r="G1823" s="11"/>
    </row>
    <row r="1824" spans="4:7">
      <c r="D1824" s="11"/>
      <c r="E1824" s="11"/>
      <c r="F1824" s="11"/>
      <c r="G1824" s="11"/>
    </row>
    <row r="1825" spans="4:7">
      <c r="D1825" s="11"/>
      <c r="E1825" s="11"/>
      <c r="F1825" s="11"/>
      <c r="G1825" s="11"/>
    </row>
    <row r="1826" spans="4:7">
      <c r="D1826" s="11"/>
      <c r="E1826" s="11"/>
      <c r="F1826" s="11"/>
      <c r="G1826" s="11"/>
    </row>
    <row r="1827" spans="4:7">
      <c r="D1827" s="11"/>
      <c r="E1827" s="11"/>
      <c r="F1827" s="11"/>
      <c r="G1827" s="11"/>
    </row>
    <row r="1828" spans="4:7">
      <c r="D1828" s="11"/>
      <c r="E1828" s="11"/>
      <c r="F1828" s="11"/>
      <c r="G1828" s="11"/>
    </row>
    <row r="1829" spans="4:7">
      <c r="D1829" s="11"/>
      <c r="E1829" s="11"/>
      <c r="F1829" s="11"/>
      <c r="G1829" s="11"/>
    </row>
    <row r="1830" spans="4:7">
      <c r="D1830" s="11"/>
      <c r="E1830" s="11"/>
      <c r="F1830" s="11"/>
      <c r="G1830" s="11"/>
    </row>
    <row r="1831" spans="4:7">
      <c r="D1831" s="11"/>
      <c r="E1831" s="11"/>
      <c r="F1831" s="11"/>
      <c r="G1831" s="11"/>
    </row>
    <row r="1832" spans="4:7">
      <c r="D1832" s="11"/>
      <c r="E1832" s="11"/>
      <c r="F1832" s="11"/>
      <c r="G1832" s="11"/>
    </row>
    <row r="1833" spans="4:7">
      <c r="D1833" s="11"/>
      <c r="E1833" s="11"/>
      <c r="F1833" s="11"/>
      <c r="G1833" s="11"/>
    </row>
    <row r="1834" spans="4:7">
      <c r="D1834" s="11"/>
      <c r="E1834" s="11"/>
      <c r="F1834" s="11"/>
      <c r="G1834" s="11"/>
    </row>
    <row r="1835" spans="4:7">
      <c r="D1835" s="11"/>
      <c r="E1835" s="11"/>
      <c r="F1835" s="11"/>
      <c r="G1835" s="11"/>
    </row>
    <row r="1836" spans="4:7">
      <c r="D1836" s="11"/>
      <c r="E1836" s="11"/>
      <c r="F1836" s="11"/>
      <c r="G1836" s="11"/>
    </row>
    <row r="1837" spans="4:7">
      <c r="D1837" s="11"/>
      <c r="E1837" s="11"/>
      <c r="F1837" s="11"/>
      <c r="G1837" s="11"/>
    </row>
    <row r="1838" spans="4:7">
      <c r="D1838" s="11"/>
      <c r="E1838" s="11"/>
      <c r="F1838" s="11"/>
      <c r="G1838" s="11"/>
    </row>
    <row r="1839" spans="4:7">
      <c r="D1839" s="11"/>
      <c r="E1839" s="11"/>
      <c r="F1839" s="11"/>
      <c r="G1839" s="11"/>
    </row>
    <row r="1840" spans="4:7">
      <c r="D1840" s="11"/>
      <c r="E1840" s="11"/>
      <c r="F1840" s="11"/>
      <c r="G1840" s="11"/>
    </row>
    <row r="1841" spans="4:7">
      <c r="D1841" s="11"/>
      <c r="E1841" s="11"/>
      <c r="F1841" s="11"/>
      <c r="G1841" s="11"/>
    </row>
    <row r="1842" spans="4:7">
      <c r="D1842" s="11"/>
      <c r="E1842" s="11"/>
      <c r="F1842" s="11"/>
      <c r="G1842" s="11"/>
    </row>
    <row r="1843" spans="4:7">
      <c r="D1843" s="11"/>
      <c r="E1843" s="11"/>
      <c r="F1843" s="11"/>
      <c r="G1843" s="11"/>
    </row>
    <row r="1844" spans="4:7">
      <c r="D1844" s="11"/>
      <c r="E1844" s="11"/>
      <c r="F1844" s="11"/>
      <c r="G1844" s="11"/>
    </row>
    <row r="1845" spans="4:7">
      <c r="D1845" s="11"/>
      <c r="E1845" s="11"/>
      <c r="F1845" s="11"/>
      <c r="G1845" s="11"/>
    </row>
    <row r="1846" spans="4:7">
      <c r="D1846" s="11"/>
      <c r="E1846" s="11"/>
      <c r="F1846" s="11"/>
      <c r="G1846" s="11"/>
    </row>
    <row r="1847" spans="4:7">
      <c r="D1847" s="11"/>
      <c r="E1847" s="11"/>
      <c r="F1847" s="11"/>
      <c r="G1847" s="11"/>
    </row>
    <row r="1848" spans="4:7">
      <c r="D1848" s="11"/>
      <c r="E1848" s="11"/>
      <c r="F1848" s="11"/>
      <c r="G1848" s="11"/>
    </row>
    <row r="1849" spans="4:7">
      <c r="D1849" s="11"/>
      <c r="E1849" s="11"/>
      <c r="F1849" s="11"/>
      <c r="G1849" s="11"/>
    </row>
    <row r="1850" spans="4:7">
      <c r="D1850" s="11"/>
      <c r="E1850" s="11"/>
      <c r="F1850" s="11"/>
      <c r="G1850" s="11"/>
    </row>
    <row r="1851" spans="4:7">
      <c r="D1851" s="11"/>
      <c r="E1851" s="11"/>
      <c r="F1851" s="11"/>
      <c r="G1851" s="11"/>
    </row>
    <row r="1852" spans="4:7">
      <c r="D1852" s="11"/>
      <c r="E1852" s="11"/>
      <c r="F1852" s="11"/>
      <c r="G1852" s="11"/>
    </row>
    <row r="1853" spans="4:7">
      <c r="D1853" s="11"/>
      <c r="E1853" s="11"/>
      <c r="F1853" s="11"/>
      <c r="G1853" s="11"/>
    </row>
    <row r="1854" spans="4:7">
      <c r="D1854" s="11"/>
      <c r="E1854" s="11"/>
      <c r="F1854" s="11"/>
      <c r="G1854" s="11"/>
    </row>
    <row r="1855" spans="4:7">
      <c r="D1855" s="11"/>
      <c r="E1855" s="11"/>
      <c r="F1855" s="11"/>
      <c r="G1855" s="11"/>
    </row>
    <row r="1856" spans="4:7">
      <c r="D1856" s="11"/>
      <c r="E1856" s="11"/>
      <c r="F1856" s="11"/>
      <c r="G1856" s="11"/>
    </row>
    <row r="1857" spans="4:7">
      <c r="D1857" s="11"/>
      <c r="E1857" s="11"/>
      <c r="F1857" s="11"/>
      <c r="G1857" s="11"/>
    </row>
    <row r="1858" spans="4:7">
      <c r="D1858" s="11"/>
      <c r="E1858" s="11"/>
      <c r="F1858" s="11"/>
      <c r="G1858" s="11"/>
    </row>
    <row r="1859" spans="4:7">
      <c r="D1859" s="11"/>
      <c r="E1859" s="11"/>
      <c r="F1859" s="11"/>
      <c r="G1859" s="11"/>
    </row>
    <row r="1860" spans="4:7">
      <c r="D1860" s="11"/>
      <c r="E1860" s="11"/>
      <c r="F1860" s="11"/>
      <c r="G1860" s="11"/>
    </row>
    <row r="1861" spans="4:7">
      <c r="D1861" s="11"/>
      <c r="E1861" s="11"/>
      <c r="F1861" s="11"/>
      <c r="G1861" s="11"/>
    </row>
    <row r="1862" spans="4:7">
      <c r="D1862" s="11"/>
      <c r="E1862" s="11"/>
      <c r="F1862" s="11"/>
      <c r="G1862" s="11"/>
    </row>
    <row r="1863" spans="4:7">
      <c r="D1863" s="11"/>
      <c r="E1863" s="11"/>
      <c r="F1863" s="11"/>
      <c r="G1863" s="11"/>
    </row>
    <row r="1864" spans="4:7">
      <c r="D1864" s="11"/>
      <c r="E1864" s="11"/>
      <c r="F1864" s="11"/>
      <c r="G1864" s="11"/>
    </row>
    <row r="1865" spans="4:7">
      <c r="D1865" s="11"/>
      <c r="E1865" s="11"/>
      <c r="F1865" s="11"/>
      <c r="G1865" s="11"/>
    </row>
    <row r="1866" spans="4:7">
      <c r="D1866" s="11"/>
      <c r="E1866" s="11"/>
      <c r="F1866" s="11"/>
      <c r="G1866" s="11"/>
    </row>
    <row r="1867" spans="4:7">
      <c r="D1867" s="11"/>
      <c r="E1867" s="11"/>
      <c r="F1867" s="11"/>
      <c r="G1867" s="11"/>
    </row>
    <row r="1868" spans="4:7">
      <c r="D1868" s="11"/>
      <c r="E1868" s="11"/>
      <c r="F1868" s="11"/>
      <c r="G1868" s="11"/>
    </row>
    <row r="1869" spans="4:7">
      <c r="D1869" s="11"/>
      <c r="E1869" s="11"/>
      <c r="F1869" s="11"/>
      <c r="G1869" s="11"/>
    </row>
    <row r="1870" spans="4:7">
      <c r="D1870" s="11"/>
      <c r="E1870" s="11"/>
      <c r="F1870" s="11"/>
      <c r="G1870" s="11"/>
    </row>
    <row r="1871" spans="4:7">
      <c r="D1871" s="11"/>
      <c r="E1871" s="11"/>
      <c r="F1871" s="11"/>
      <c r="G1871" s="11"/>
    </row>
    <row r="1872" spans="4:7">
      <c r="D1872" s="11"/>
      <c r="E1872" s="11"/>
      <c r="F1872" s="11"/>
      <c r="G1872" s="11"/>
    </row>
    <row r="1873" spans="4:7">
      <c r="D1873" s="11"/>
      <c r="E1873" s="11"/>
      <c r="F1873" s="11"/>
      <c r="G1873" s="11"/>
    </row>
    <row r="1874" spans="4:7">
      <c r="D1874" s="11"/>
      <c r="E1874" s="11"/>
      <c r="F1874" s="11"/>
      <c r="G1874" s="11"/>
    </row>
    <row r="1875" spans="4:7">
      <c r="D1875" s="11"/>
      <c r="E1875" s="11"/>
      <c r="F1875" s="11"/>
      <c r="G1875" s="11"/>
    </row>
    <row r="1876" spans="4:7">
      <c r="D1876" s="11"/>
      <c r="E1876" s="11"/>
      <c r="F1876" s="11"/>
      <c r="G1876" s="11"/>
    </row>
    <row r="1877" spans="4:7">
      <c r="D1877" s="11"/>
      <c r="E1877" s="11"/>
      <c r="F1877" s="11"/>
      <c r="G1877" s="11"/>
    </row>
    <row r="1878" spans="4:7">
      <c r="D1878" s="11"/>
      <c r="E1878" s="11"/>
      <c r="F1878" s="11"/>
      <c r="G1878" s="11"/>
    </row>
    <row r="1879" spans="4:7">
      <c r="D1879" s="11"/>
      <c r="E1879" s="11"/>
      <c r="F1879" s="11"/>
      <c r="G1879" s="11"/>
    </row>
    <row r="1880" spans="4:7">
      <c r="D1880" s="11"/>
      <c r="E1880" s="11"/>
      <c r="F1880" s="11"/>
      <c r="G1880" s="11"/>
    </row>
    <row r="1881" spans="4:7">
      <c r="D1881" s="11"/>
      <c r="E1881" s="11"/>
      <c r="F1881" s="11"/>
      <c r="G1881" s="11"/>
    </row>
    <row r="1882" spans="4:7">
      <c r="D1882" s="11"/>
      <c r="E1882" s="11"/>
      <c r="F1882" s="11"/>
      <c r="G1882" s="11"/>
    </row>
    <row r="1883" spans="4:7">
      <c r="D1883" s="11"/>
      <c r="E1883" s="11"/>
      <c r="F1883" s="11"/>
      <c r="G1883" s="11"/>
    </row>
    <row r="1884" spans="4:7">
      <c r="D1884" s="11"/>
      <c r="E1884" s="11"/>
      <c r="F1884" s="11"/>
      <c r="G1884" s="11"/>
    </row>
    <row r="1885" spans="4:7">
      <c r="D1885" s="11"/>
      <c r="E1885" s="11"/>
      <c r="F1885" s="11"/>
      <c r="G1885" s="11"/>
    </row>
    <row r="1886" spans="4:7">
      <c r="D1886" s="11"/>
      <c r="E1886" s="11"/>
      <c r="F1886" s="11"/>
      <c r="G1886" s="11"/>
    </row>
    <row r="1887" spans="4:7">
      <c r="D1887" s="11"/>
      <c r="E1887" s="11"/>
      <c r="F1887" s="11"/>
      <c r="G1887" s="11"/>
    </row>
    <row r="1888" spans="4:7">
      <c r="D1888" s="11"/>
      <c r="E1888" s="11"/>
      <c r="F1888" s="11"/>
      <c r="G1888" s="11"/>
    </row>
    <row r="1889" spans="4:7">
      <c r="D1889" s="11"/>
      <c r="E1889" s="11"/>
      <c r="F1889" s="11"/>
      <c r="G1889" s="11"/>
    </row>
    <row r="1890" spans="4:7">
      <c r="D1890" s="11"/>
      <c r="E1890" s="11"/>
      <c r="F1890" s="11"/>
      <c r="G1890" s="11"/>
    </row>
    <row r="1891" spans="4:7">
      <c r="D1891" s="11"/>
      <c r="E1891" s="11"/>
      <c r="F1891" s="11"/>
      <c r="G1891" s="11"/>
    </row>
    <row r="1892" spans="4:7">
      <c r="D1892" s="11"/>
      <c r="E1892" s="11"/>
      <c r="F1892" s="11"/>
      <c r="G1892" s="11"/>
    </row>
    <row r="1893" spans="4:7">
      <c r="D1893" s="11"/>
      <c r="E1893" s="11"/>
      <c r="F1893" s="11"/>
      <c r="G1893" s="11"/>
    </row>
    <row r="1894" spans="4:7">
      <c r="D1894" s="11"/>
      <c r="E1894" s="11"/>
      <c r="F1894" s="11"/>
      <c r="G1894" s="11"/>
    </row>
    <row r="1895" spans="4:7">
      <c r="D1895" s="11"/>
      <c r="E1895" s="11"/>
      <c r="F1895" s="11"/>
      <c r="G1895" s="11"/>
    </row>
    <row r="1896" spans="4:7">
      <c r="D1896" s="11"/>
      <c r="E1896" s="11"/>
      <c r="F1896" s="11"/>
      <c r="G1896" s="11"/>
    </row>
    <row r="1897" spans="4:7">
      <c r="D1897" s="11"/>
      <c r="E1897" s="11"/>
      <c r="F1897" s="11"/>
      <c r="G1897" s="11"/>
    </row>
    <row r="1898" spans="4:7">
      <c r="D1898" s="11"/>
      <c r="E1898" s="11"/>
      <c r="F1898" s="11"/>
      <c r="G1898" s="11"/>
    </row>
    <row r="1899" spans="4:7">
      <c r="D1899" s="11"/>
      <c r="E1899" s="11"/>
      <c r="F1899" s="11"/>
      <c r="G1899" s="11"/>
    </row>
    <row r="1900" spans="4:7">
      <c r="D1900" s="11"/>
      <c r="E1900" s="11"/>
      <c r="F1900" s="11"/>
      <c r="G1900" s="11"/>
    </row>
    <row r="1901" spans="4:7">
      <c r="D1901" s="11"/>
      <c r="E1901" s="11"/>
      <c r="F1901" s="11"/>
      <c r="G1901" s="11"/>
    </row>
    <row r="1902" spans="4:7">
      <c r="D1902" s="11"/>
      <c r="E1902" s="11"/>
      <c r="F1902" s="11"/>
      <c r="G1902" s="11"/>
    </row>
    <row r="1903" spans="4:7">
      <c r="D1903" s="11"/>
      <c r="E1903" s="11"/>
      <c r="F1903" s="11"/>
      <c r="G1903" s="11"/>
    </row>
    <row r="1904" spans="4:7">
      <c r="D1904" s="11"/>
      <c r="E1904" s="11"/>
      <c r="F1904" s="11"/>
      <c r="G1904" s="11"/>
    </row>
    <row r="1905" spans="4:7">
      <c r="D1905" s="11"/>
      <c r="E1905" s="11"/>
      <c r="F1905" s="11"/>
      <c r="G1905" s="11"/>
    </row>
    <row r="1906" spans="4:7">
      <c r="D1906" s="11"/>
      <c r="E1906" s="11"/>
      <c r="F1906" s="11"/>
      <c r="G1906" s="11"/>
    </row>
    <row r="1907" spans="4:7">
      <c r="D1907" s="11"/>
      <c r="E1907" s="11"/>
      <c r="F1907" s="11"/>
      <c r="G1907" s="11"/>
    </row>
    <row r="1908" spans="4:7">
      <c r="D1908" s="11"/>
      <c r="E1908" s="11"/>
      <c r="F1908" s="11"/>
      <c r="G1908" s="11"/>
    </row>
    <row r="1909" spans="4:7">
      <c r="D1909" s="11"/>
      <c r="E1909" s="11"/>
      <c r="F1909" s="11"/>
      <c r="G1909" s="11"/>
    </row>
    <row r="1910" spans="4:7">
      <c r="D1910" s="11"/>
      <c r="E1910" s="11"/>
      <c r="F1910" s="11"/>
      <c r="G1910" s="11"/>
    </row>
    <row r="1911" spans="4:7">
      <c r="D1911" s="11"/>
      <c r="E1911" s="11"/>
      <c r="F1911" s="11"/>
      <c r="G1911" s="11"/>
    </row>
    <row r="1912" spans="4:7">
      <c r="D1912" s="11"/>
      <c r="E1912" s="11"/>
      <c r="F1912" s="11"/>
      <c r="G1912" s="11"/>
    </row>
    <row r="1913" spans="4:7">
      <c r="D1913" s="11"/>
      <c r="E1913" s="11"/>
      <c r="F1913" s="11"/>
      <c r="G1913" s="11"/>
    </row>
    <row r="1914" spans="4:7">
      <c r="D1914" s="11"/>
      <c r="E1914" s="11"/>
      <c r="F1914" s="11"/>
      <c r="G1914" s="11"/>
    </row>
    <row r="1915" spans="4:7">
      <c r="D1915" s="11"/>
      <c r="E1915" s="11"/>
      <c r="F1915" s="11"/>
      <c r="G1915" s="11"/>
    </row>
    <row r="1916" spans="4:7">
      <c r="D1916" s="11"/>
      <c r="E1916" s="11"/>
      <c r="F1916" s="11"/>
      <c r="G1916" s="11"/>
    </row>
    <row r="1917" spans="4:7">
      <c r="D1917" s="11"/>
      <c r="E1917" s="11"/>
      <c r="F1917" s="11"/>
      <c r="G1917" s="11"/>
    </row>
    <row r="1918" spans="4:7">
      <c r="D1918" s="11"/>
      <c r="E1918" s="11"/>
      <c r="F1918" s="11"/>
      <c r="G1918" s="11"/>
    </row>
    <row r="1919" spans="4:7">
      <c r="D1919" s="11"/>
      <c r="E1919" s="11"/>
      <c r="F1919" s="11"/>
      <c r="G1919" s="11"/>
    </row>
    <row r="1920" spans="4:7">
      <c r="D1920" s="11"/>
      <c r="E1920" s="11"/>
      <c r="F1920" s="11"/>
      <c r="G1920" s="11"/>
    </row>
    <row r="1921" spans="4:7">
      <c r="D1921" s="11"/>
      <c r="E1921" s="11"/>
      <c r="F1921" s="11"/>
      <c r="G1921" s="11"/>
    </row>
    <row r="1922" spans="4:7">
      <c r="D1922" s="11"/>
      <c r="E1922" s="11"/>
      <c r="F1922" s="11"/>
      <c r="G1922" s="11"/>
    </row>
    <row r="1923" spans="4:7">
      <c r="D1923" s="11"/>
      <c r="E1923" s="11"/>
      <c r="F1923" s="11"/>
      <c r="G1923" s="11"/>
    </row>
    <row r="1924" spans="4:7">
      <c r="D1924" s="11"/>
      <c r="E1924" s="11"/>
      <c r="F1924" s="11"/>
      <c r="G1924" s="11"/>
    </row>
    <row r="1925" spans="4:7">
      <c r="D1925" s="11"/>
      <c r="E1925" s="11"/>
      <c r="F1925" s="11"/>
      <c r="G1925" s="11"/>
    </row>
    <row r="1926" spans="4:7">
      <c r="D1926" s="11"/>
      <c r="E1926" s="11"/>
      <c r="F1926" s="11"/>
      <c r="G1926" s="11"/>
    </row>
    <row r="1927" spans="4:7">
      <c r="D1927" s="11"/>
      <c r="E1927" s="11"/>
      <c r="F1927" s="11"/>
      <c r="G1927" s="11"/>
    </row>
    <row r="1928" spans="4:7">
      <c r="D1928" s="11"/>
      <c r="E1928" s="11"/>
      <c r="F1928" s="11"/>
      <c r="G1928" s="11"/>
    </row>
    <row r="1929" spans="4:7">
      <c r="D1929" s="11"/>
      <c r="E1929" s="11"/>
      <c r="F1929" s="11"/>
      <c r="G1929" s="11"/>
    </row>
    <row r="1930" spans="4:7">
      <c r="D1930" s="11"/>
      <c r="E1930" s="11"/>
      <c r="F1930" s="11"/>
      <c r="G1930" s="11"/>
    </row>
    <row r="1931" spans="4:7">
      <c r="D1931" s="11"/>
      <c r="E1931" s="11"/>
      <c r="F1931" s="11"/>
      <c r="G1931" s="11"/>
    </row>
    <row r="1932" spans="4:7">
      <c r="D1932" s="11"/>
      <c r="E1932" s="11"/>
      <c r="F1932" s="11"/>
      <c r="G1932" s="11"/>
    </row>
    <row r="1933" spans="4:7">
      <c r="D1933" s="11"/>
      <c r="E1933" s="11"/>
      <c r="F1933" s="11"/>
      <c r="G1933" s="11"/>
    </row>
    <row r="1934" spans="4:7">
      <c r="D1934" s="11"/>
      <c r="E1934" s="11"/>
      <c r="F1934" s="11"/>
      <c r="G1934" s="11"/>
    </row>
    <row r="1935" spans="4:7">
      <c r="D1935" s="11"/>
      <c r="E1935" s="11"/>
      <c r="F1935" s="11"/>
      <c r="G1935" s="11"/>
    </row>
    <row r="1936" spans="4:7">
      <c r="D1936" s="11"/>
      <c r="E1936" s="11"/>
      <c r="F1936" s="11"/>
      <c r="G1936" s="11"/>
    </row>
    <row r="1937" spans="4:7">
      <c r="D1937" s="11"/>
      <c r="E1937" s="11"/>
      <c r="F1937" s="11"/>
      <c r="G1937" s="11"/>
    </row>
    <row r="1938" spans="4:7">
      <c r="D1938" s="11"/>
      <c r="E1938" s="11"/>
      <c r="F1938" s="11"/>
      <c r="G1938" s="11"/>
    </row>
    <row r="1939" spans="4:7">
      <c r="D1939" s="11"/>
      <c r="E1939" s="11"/>
      <c r="F1939" s="11"/>
      <c r="G1939" s="11"/>
    </row>
    <row r="1940" spans="4:7">
      <c r="D1940" s="11"/>
      <c r="E1940" s="11"/>
      <c r="F1940" s="11"/>
      <c r="G1940" s="11"/>
    </row>
    <row r="1941" spans="4:7">
      <c r="D1941" s="11"/>
      <c r="E1941" s="11"/>
      <c r="F1941" s="11"/>
      <c r="G1941" s="11"/>
    </row>
    <row r="1942" spans="4:7">
      <c r="D1942" s="11"/>
      <c r="E1942" s="11"/>
      <c r="F1942" s="11"/>
      <c r="G1942" s="11"/>
    </row>
    <row r="1943" spans="4:7">
      <c r="D1943" s="11"/>
      <c r="E1943" s="11"/>
      <c r="F1943" s="11"/>
      <c r="G1943" s="11"/>
    </row>
    <row r="1944" spans="4:7">
      <c r="D1944" s="11"/>
      <c r="E1944" s="11"/>
      <c r="F1944" s="11"/>
      <c r="G1944" s="11"/>
    </row>
    <row r="1945" spans="4:7">
      <c r="D1945" s="11"/>
      <c r="E1945" s="11"/>
      <c r="F1945" s="11"/>
      <c r="G1945" s="11"/>
    </row>
    <row r="1946" spans="4:7">
      <c r="D1946" s="11"/>
      <c r="E1946" s="11"/>
      <c r="F1946" s="11"/>
      <c r="G1946" s="11"/>
    </row>
    <row r="1947" spans="4:7">
      <c r="D1947" s="11"/>
      <c r="E1947" s="11"/>
      <c r="F1947" s="11"/>
      <c r="G1947" s="11"/>
    </row>
    <row r="1948" spans="4:7">
      <c r="D1948" s="11"/>
      <c r="E1948" s="11"/>
      <c r="F1948" s="11"/>
      <c r="G1948" s="11"/>
    </row>
    <row r="1949" spans="4:7">
      <c r="D1949" s="11"/>
      <c r="E1949" s="11"/>
      <c r="F1949" s="11"/>
      <c r="G1949" s="11"/>
    </row>
    <row r="1950" spans="4:7">
      <c r="D1950" s="11"/>
      <c r="E1950" s="11"/>
      <c r="F1950" s="11"/>
      <c r="G1950" s="11"/>
    </row>
    <row r="1951" spans="4:7">
      <c r="D1951" s="11"/>
      <c r="E1951" s="11"/>
      <c r="F1951" s="11"/>
      <c r="G1951" s="11"/>
    </row>
    <row r="1952" spans="4:7">
      <c r="D1952" s="11"/>
      <c r="E1952" s="11"/>
      <c r="F1952" s="11"/>
      <c r="G1952" s="11"/>
    </row>
    <row r="1953" spans="4:7">
      <c r="D1953" s="11"/>
      <c r="E1953" s="11"/>
      <c r="F1953" s="11"/>
      <c r="G1953" s="11"/>
    </row>
    <row r="1954" spans="4:7">
      <c r="D1954" s="11"/>
      <c r="E1954" s="11"/>
      <c r="F1954" s="11"/>
      <c r="G1954" s="11"/>
    </row>
    <row r="1955" spans="4:7">
      <c r="D1955" s="11"/>
      <c r="E1955" s="11"/>
      <c r="F1955" s="11"/>
      <c r="G1955" s="11"/>
    </row>
    <row r="1956" spans="4:7">
      <c r="D1956" s="11"/>
      <c r="E1956" s="11"/>
      <c r="F1956" s="11"/>
      <c r="G1956" s="11"/>
    </row>
    <row r="1957" spans="4:7">
      <c r="D1957" s="11"/>
      <c r="E1957" s="11"/>
      <c r="F1957" s="11"/>
      <c r="G1957" s="11"/>
    </row>
    <row r="1958" spans="4:7">
      <c r="D1958" s="11"/>
      <c r="E1958" s="11"/>
      <c r="F1958" s="11"/>
      <c r="G1958" s="11"/>
    </row>
    <row r="1959" spans="4:7">
      <c r="D1959" s="11"/>
      <c r="E1959" s="11"/>
      <c r="F1959" s="11"/>
      <c r="G1959" s="11"/>
    </row>
    <row r="1960" spans="4:7">
      <c r="D1960" s="11"/>
      <c r="E1960" s="11"/>
      <c r="F1960" s="11"/>
      <c r="G1960" s="11"/>
    </row>
    <row r="1961" spans="4:7">
      <c r="D1961" s="11"/>
      <c r="E1961" s="11"/>
      <c r="F1961" s="11"/>
      <c r="G1961" s="11"/>
    </row>
    <row r="1962" spans="4:7">
      <c r="D1962" s="11"/>
      <c r="E1962" s="11"/>
      <c r="F1962" s="11"/>
      <c r="G1962" s="11"/>
    </row>
    <row r="1963" spans="4:7">
      <c r="D1963" s="11"/>
      <c r="E1963" s="11"/>
      <c r="F1963" s="11"/>
      <c r="G1963" s="11"/>
    </row>
    <row r="1964" spans="4:7">
      <c r="D1964" s="11"/>
      <c r="E1964" s="11"/>
      <c r="F1964" s="11"/>
      <c r="G1964" s="11"/>
    </row>
    <row r="1965" spans="4:7">
      <c r="D1965" s="11"/>
      <c r="E1965" s="11"/>
      <c r="F1965" s="11"/>
      <c r="G1965" s="11"/>
    </row>
    <row r="1966" spans="4:7">
      <c r="D1966" s="11"/>
      <c r="E1966" s="11"/>
      <c r="F1966" s="11"/>
      <c r="G1966" s="11"/>
    </row>
    <row r="1967" spans="4:7">
      <c r="D1967" s="11"/>
      <c r="E1967" s="11"/>
      <c r="F1967" s="11"/>
      <c r="G1967" s="11"/>
    </row>
    <row r="1968" spans="4:7">
      <c r="D1968" s="11"/>
      <c r="E1968" s="11"/>
      <c r="F1968" s="11"/>
      <c r="G1968" s="11"/>
    </row>
    <row r="1969" spans="4:7">
      <c r="D1969" s="11"/>
      <c r="E1969" s="11"/>
      <c r="F1969" s="11"/>
      <c r="G1969" s="11"/>
    </row>
    <row r="1970" spans="4:7">
      <c r="D1970" s="11"/>
      <c r="E1970" s="11"/>
      <c r="F1970" s="11"/>
      <c r="G1970" s="11"/>
    </row>
    <row r="1971" spans="4:7">
      <c r="D1971" s="11"/>
      <c r="E1971" s="11"/>
      <c r="F1971" s="11"/>
      <c r="G1971" s="11"/>
    </row>
    <row r="1972" spans="4:7">
      <c r="D1972" s="11"/>
      <c r="E1972" s="11"/>
      <c r="F1972" s="11"/>
      <c r="G1972" s="11"/>
    </row>
    <row r="1973" spans="4:7">
      <c r="D1973" s="11"/>
      <c r="E1973" s="11"/>
      <c r="F1973" s="11"/>
      <c r="G1973" s="11"/>
    </row>
    <row r="1974" spans="4:7">
      <c r="D1974" s="11"/>
      <c r="E1974" s="11"/>
      <c r="F1974" s="11"/>
      <c r="G1974" s="11"/>
    </row>
    <row r="1975" spans="4:7">
      <c r="D1975" s="11"/>
      <c r="E1975" s="11"/>
      <c r="F1975" s="11"/>
      <c r="G1975" s="11"/>
    </row>
    <row r="1976" spans="4:7">
      <c r="D1976" s="11"/>
      <c r="E1976" s="11"/>
      <c r="F1976" s="11"/>
      <c r="G1976" s="11"/>
    </row>
    <row r="1977" spans="4:7">
      <c r="D1977" s="11"/>
      <c r="E1977" s="11"/>
      <c r="F1977" s="11"/>
      <c r="G1977" s="11"/>
    </row>
    <row r="1978" spans="4:7">
      <c r="D1978" s="11"/>
      <c r="E1978" s="11"/>
      <c r="F1978" s="11"/>
      <c r="G1978" s="11"/>
    </row>
    <row r="1979" spans="4:7">
      <c r="D1979" s="11"/>
      <c r="E1979" s="11"/>
      <c r="F1979" s="11"/>
      <c r="G1979" s="11"/>
    </row>
    <row r="1980" spans="4:7">
      <c r="D1980" s="11"/>
      <c r="E1980" s="11"/>
      <c r="F1980" s="11"/>
      <c r="G1980" s="11"/>
    </row>
    <row r="1981" spans="4:7">
      <c r="D1981" s="11"/>
      <c r="E1981" s="11"/>
      <c r="F1981" s="11"/>
      <c r="G1981" s="11"/>
    </row>
    <row r="1982" spans="4:7">
      <c r="D1982" s="11"/>
      <c r="E1982" s="11"/>
      <c r="F1982" s="11"/>
      <c r="G1982" s="11"/>
    </row>
    <row r="1983" spans="4:7">
      <c r="D1983" s="11"/>
      <c r="E1983" s="11"/>
      <c r="F1983" s="11"/>
      <c r="G1983" s="11"/>
    </row>
    <row r="1984" spans="4:7">
      <c r="D1984" s="11"/>
      <c r="E1984" s="11"/>
      <c r="F1984" s="11"/>
      <c r="G1984" s="11"/>
    </row>
    <row r="1985" spans="4:7">
      <c r="D1985" s="11"/>
      <c r="E1985" s="11"/>
      <c r="F1985" s="11"/>
      <c r="G1985" s="11"/>
    </row>
    <row r="1986" spans="4:7">
      <c r="D1986" s="11"/>
      <c r="E1986" s="11"/>
      <c r="F1986" s="11"/>
      <c r="G1986" s="11"/>
    </row>
    <row r="1987" spans="4:7">
      <c r="D1987" s="11"/>
      <c r="E1987" s="11"/>
      <c r="F1987" s="11"/>
      <c r="G1987" s="11"/>
    </row>
    <row r="1988" spans="4:7">
      <c r="D1988" s="11"/>
      <c r="E1988" s="11"/>
      <c r="F1988" s="11"/>
      <c r="G1988" s="11"/>
    </row>
    <row r="1989" spans="4:7">
      <c r="D1989" s="11"/>
      <c r="E1989" s="11"/>
      <c r="F1989" s="11"/>
      <c r="G1989" s="11"/>
    </row>
    <row r="1990" spans="4:7">
      <c r="D1990" s="11"/>
      <c r="E1990" s="11"/>
      <c r="F1990" s="11"/>
      <c r="G1990" s="11"/>
    </row>
    <row r="1991" spans="4:7">
      <c r="D1991" s="11"/>
      <c r="E1991" s="11"/>
      <c r="F1991" s="11"/>
      <c r="G1991" s="11"/>
    </row>
    <row r="1992" spans="4:7">
      <c r="D1992" s="11"/>
      <c r="E1992" s="11"/>
      <c r="F1992" s="11"/>
      <c r="G1992" s="11"/>
    </row>
    <row r="1993" spans="4:7">
      <c r="D1993" s="11"/>
      <c r="E1993" s="11"/>
      <c r="F1993" s="11"/>
      <c r="G1993" s="11"/>
    </row>
    <row r="1994" spans="4:7">
      <c r="D1994" s="11"/>
      <c r="E1994" s="11"/>
      <c r="F1994" s="11"/>
      <c r="G1994" s="11"/>
    </row>
    <row r="1995" spans="4:7">
      <c r="D1995" s="11"/>
      <c r="E1995" s="11"/>
      <c r="F1995" s="11"/>
      <c r="G1995" s="11"/>
    </row>
    <row r="1996" spans="4:7">
      <c r="D1996" s="11"/>
      <c r="E1996" s="11"/>
      <c r="F1996" s="11"/>
      <c r="G1996" s="11"/>
    </row>
    <row r="1997" spans="4:7">
      <c r="D1997" s="11"/>
      <c r="E1997" s="11"/>
      <c r="F1997" s="11"/>
      <c r="G1997" s="11"/>
    </row>
    <row r="1998" spans="4:7">
      <c r="D1998" s="11"/>
      <c r="E1998" s="11"/>
      <c r="F1998" s="11"/>
      <c r="G1998" s="11"/>
    </row>
    <row r="1999" spans="4:7">
      <c r="D1999" s="11"/>
      <c r="E1999" s="11"/>
      <c r="F1999" s="11"/>
      <c r="G1999" s="11"/>
    </row>
    <row r="2000" spans="4:7">
      <c r="D2000" s="11"/>
      <c r="E2000" s="11"/>
      <c r="F2000" s="11"/>
      <c r="G2000" s="11"/>
    </row>
  </sheetData>
  <dataValidations count="1">
    <dataValidation type="list" sqref="J2:J2000" xr:uid="{00000000-0002-0000-0200-000000000000}">
      <formula1>"Planned,In progress,Verified,Rejected"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500"/>
  <sheetViews>
    <sheetView workbookViewId="0"/>
  </sheetViews>
  <sheetFormatPr defaultRowHeight="14.25"/>
  <cols>
    <col min="1" max="2" width="18" customWidth="1"/>
    <col min="3" max="4" width="20" customWidth="1"/>
    <col min="5" max="9" width="14" customWidth="1"/>
    <col min="10" max="11" width="16" customWidth="1"/>
    <col min="12" max="14" width="14" customWidth="1"/>
    <col min="15" max="15" width="12" customWidth="1"/>
    <col min="16" max="16" width="28" customWidth="1"/>
  </cols>
  <sheetData>
    <row r="1" spans="1:52" ht="30">
      <c r="A1" s="1" t="s">
        <v>86</v>
      </c>
      <c r="B1" s="1" t="s">
        <v>70</v>
      </c>
      <c r="C1" s="1" t="s">
        <v>73</v>
      </c>
      <c r="D1" s="1" t="s">
        <v>78</v>
      </c>
      <c r="E1" s="1" t="s">
        <v>1709</v>
      </c>
      <c r="F1" s="1" t="s">
        <v>1710</v>
      </c>
      <c r="G1" s="1" t="s">
        <v>1711</v>
      </c>
      <c r="H1" s="1" t="s">
        <v>1712</v>
      </c>
      <c r="I1" s="1" t="s">
        <v>1713</v>
      </c>
      <c r="J1" s="1" t="s">
        <v>1714</v>
      </c>
      <c r="K1" s="1" t="s">
        <v>1715</v>
      </c>
      <c r="L1" s="1" t="s">
        <v>1716</v>
      </c>
      <c r="M1" s="1" t="s">
        <v>1717</v>
      </c>
      <c r="N1" s="1" t="s">
        <v>85</v>
      </c>
      <c r="O1" s="1" t="s">
        <v>92</v>
      </c>
      <c r="P1" s="1" t="s">
        <v>94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42.75">
      <c r="A2" s="2" t="s">
        <v>107</v>
      </c>
      <c r="B2" s="2" t="s">
        <v>97</v>
      </c>
      <c r="C2" s="2" t="s">
        <v>1718</v>
      </c>
      <c r="D2" s="2" t="s">
        <v>105</v>
      </c>
      <c r="E2" s="10">
        <v>18</v>
      </c>
      <c r="F2" s="10">
        <v>60</v>
      </c>
      <c r="G2" s="10">
        <v>30</v>
      </c>
      <c r="H2" s="10">
        <v>48</v>
      </c>
      <c r="I2" s="10">
        <v>60</v>
      </c>
      <c r="J2" s="10" t="s">
        <v>1719</v>
      </c>
      <c r="K2" s="10">
        <v>24</v>
      </c>
      <c r="L2" s="10"/>
      <c r="M2" s="10">
        <v>0.12</v>
      </c>
      <c r="N2" s="10">
        <v>98</v>
      </c>
      <c r="O2" s="2" t="s">
        <v>111</v>
      </c>
      <c r="P2" s="2" t="s">
        <v>1720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42.75">
      <c r="A3" s="2" t="s">
        <v>117</v>
      </c>
      <c r="B3" s="2" t="s">
        <v>97</v>
      </c>
      <c r="C3" s="2" t="s">
        <v>1721</v>
      </c>
      <c r="D3" s="2" t="s">
        <v>105</v>
      </c>
      <c r="E3" s="10">
        <v>18</v>
      </c>
      <c r="F3" s="10">
        <v>60</v>
      </c>
      <c r="G3" s="10">
        <v>30</v>
      </c>
      <c r="H3" s="10">
        <v>48</v>
      </c>
      <c r="I3" s="10">
        <v>60</v>
      </c>
      <c r="J3" s="10" t="s">
        <v>1719</v>
      </c>
      <c r="K3" s="10">
        <v>24</v>
      </c>
      <c r="L3" s="10"/>
      <c r="M3" s="10">
        <v>0.21</v>
      </c>
      <c r="N3" s="10">
        <v>98</v>
      </c>
      <c r="O3" s="2" t="s">
        <v>111</v>
      </c>
      <c r="P3" s="2" t="s">
        <v>1720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42.75">
      <c r="A4" s="2" t="s">
        <v>151</v>
      </c>
      <c r="B4" s="2" t="s">
        <v>97</v>
      </c>
      <c r="C4" s="2" t="s">
        <v>1722</v>
      </c>
      <c r="D4" s="2" t="s">
        <v>105</v>
      </c>
      <c r="E4" s="10">
        <v>18</v>
      </c>
      <c r="F4" s="10">
        <v>60</v>
      </c>
      <c r="G4" s="10">
        <v>30</v>
      </c>
      <c r="H4" s="10">
        <v>48</v>
      </c>
      <c r="I4" s="10">
        <v>60</v>
      </c>
      <c r="J4" s="10" t="s">
        <v>1719</v>
      </c>
      <c r="K4" s="10">
        <v>24</v>
      </c>
      <c r="L4" s="10"/>
      <c r="M4" s="10">
        <v>0.3</v>
      </c>
      <c r="N4" s="10">
        <v>98</v>
      </c>
      <c r="O4" s="2" t="s">
        <v>111</v>
      </c>
      <c r="P4" s="2" t="s">
        <v>1720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42.75">
      <c r="A5" s="2" t="s">
        <v>157</v>
      </c>
      <c r="B5" s="2" t="s">
        <v>97</v>
      </c>
      <c r="C5" s="2" t="s">
        <v>1723</v>
      </c>
      <c r="D5" s="2" t="s">
        <v>105</v>
      </c>
      <c r="E5" s="10">
        <v>30</v>
      </c>
      <c r="F5" s="10">
        <v>110</v>
      </c>
      <c r="G5" s="10">
        <v>60</v>
      </c>
      <c r="H5" s="10">
        <v>90</v>
      </c>
      <c r="I5" s="10">
        <v>110</v>
      </c>
      <c r="J5" s="10" t="s">
        <v>1719</v>
      </c>
      <c r="K5" s="10">
        <v>48</v>
      </c>
      <c r="L5" s="10"/>
      <c r="M5" s="10">
        <v>0.4</v>
      </c>
      <c r="N5" s="10">
        <v>98</v>
      </c>
      <c r="O5" s="2" t="s">
        <v>111</v>
      </c>
      <c r="P5" s="2" t="s">
        <v>1720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42.75">
      <c r="A6" s="2" t="s">
        <v>122</v>
      </c>
      <c r="B6" s="2" t="s">
        <v>97</v>
      </c>
      <c r="C6" s="2" t="s">
        <v>1724</v>
      </c>
      <c r="D6" s="2" t="s">
        <v>105</v>
      </c>
      <c r="E6" s="10">
        <v>30</v>
      </c>
      <c r="F6" s="10">
        <v>110</v>
      </c>
      <c r="G6" s="10">
        <v>60</v>
      </c>
      <c r="H6" s="10">
        <v>90</v>
      </c>
      <c r="I6" s="10">
        <v>110</v>
      </c>
      <c r="J6" s="10" t="s">
        <v>1719</v>
      </c>
      <c r="K6" s="10">
        <v>48</v>
      </c>
      <c r="L6" s="10"/>
      <c r="M6" s="10">
        <v>0.5</v>
      </c>
      <c r="N6" s="10">
        <v>98</v>
      </c>
      <c r="O6" s="2" t="s">
        <v>111</v>
      </c>
      <c r="P6" s="2" t="s">
        <v>1720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42.75">
      <c r="A7" s="2" t="s">
        <v>179</v>
      </c>
      <c r="B7" s="2" t="s">
        <v>97</v>
      </c>
      <c r="C7" s="2" t="s">
        <v>1725</v>
      </c>
      <c r="D7" s="2" t="s">
        <v>105</v>
      </c>
      <c r="E7" s="10">
        <v>50</v>
      </c>
      <c r="F7" s="10">
        <v>170</v>
      </c>
      <c r="G7" s="10">
        <v>90</v>
      </c>
      <c r="H7" s="10">
        <v>120</v>
      </c>
      <c r="I7" s="10">
        <v>170</v>
      </c>
      <c r="J7" s="10" t="s">
        <v>1719</v>
      </c>
      <c r="K7" s="10">
        <v>72</v>
      </c>
      <c r="L7" s="10"/>
      <c r="M7" s="10">
        <v>0.6</v>
      </c>
      <c r="N7" s="10">
        <v>98</v>
      </c>
      <c r="O7" s="2" t="s">
        <v>111</v>
      </c>
      <c r="P7" s="2" t="s">
        <v>1720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42.75">
      <c r="A8" s="2" t="s">
        <v>143</v>
      </c>
      <c r="B8" s="2" t="s">
        <v>97</v>
      </c>
      <c r="C8" s="2" t="s">
        <v>1726</v>
      </c>
      <c r="D8" s="2" t="s">
        <v>105</v>
      </c>
      <c r="E8" s="10">
        <v>50</v>
      </c>
      <c r="F8" s="10">
        <v>170</v>
      </c>
      <c r="G8" s="10">
        <v>90</v>
      </c>
      <c r="H8" s="10">
        <v>120</v>
      </c>
      <c r="I8" s="10">
        <v>170</v>
      </c>
      <c r="J8" s="10" t="s">
        <v>1719</v>
      </c>
      <c r="K8" s="10">
        <v>72</v>
      </c>
      <c r="L8" s="10"/>
      <c r="M8" s="10">
        <v>0.75</v>
      </c>
      <c r="N8" s="10">
        <v>98</v>
      </c>
      <c r="O8" s="2" t="s">
        <v>111</v>
      </c>
      <c r="P8" s="2" t="s">
        <v>1720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42.75">
      <c r="A9" s="2" t="s">
        <v>190</v>
      </c>
      <c r="B9" s="2" t="s">
        <v>97</v>
      </c>
      <c r="C9" s="2" t="s">
        <v>1727</v>
      </c>
      <c r="D9" s="2" t="s">
        <v>105</v>
      </c>
      <c r="E9" s="10">
        <v>60</v>
      </c>
      <c r="F9" s="10">
        <v>220</v>
      </c>
      <c r="G9" s="10">
        <v>96</v>
      </c>
      <c r="H9" s="10">
        <v>150</v>
      </c>
      <c r="I9" s="10">
        <v>220</v>
      </c>
      <c r="J9" s="10" t="s">
        <v>1719</v>
      </c>
      <c r="K9" s="10">
        <v>110</v>
      </c>
      <c r="L9" s="10"/>
      <c r="M9" s="10">
        <v>1.1000000000000001</v>
      </c>
      <c r="N9" s="10">
        <v>98</v>
      </c>
      <c r="O9" s="2" t="s">
        <v>111</v>
      </c>
      <c r="P9" s="2" t="s">
        <v>1720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42.75">
      <c r="A10" s="2" t="s">
        <v>221</v>
      </c>
      <c r="B10" s="2" t="s">
        <v>97</v>
      </c>
      <c r="C10" s="2" t="s">
        <v>1728</v>
      </c>
      <c r="D10" s="2" t="s">
        <v>105</v>
      </c>
      <c r="E10" s="10">
        <v>60</v>
      </c>
      <c r="F10" s="10">
        <v>220</v>
      </c>
      <c r="G10" s="10">
        <v>96</v>
      </c>
      <c r="H10" s="10">
        <v>150</v>
      </c>
      <c r="I10" s="10">
        <v>220</v>
      </c>
      <c r="J10" s="10" t="s">
        <v>1719</v>
      </c>
      <c r="K10" s="10">
        <v>110</v>
      </c>
      <c r="L10" s="10"/>
      <c r="M10" s="10">
        <v>1.3</v>
      </c>
      <c r="N10" s="10">
        <v>98</v>
      </c>
      <c r="O10" s="2" t="s">
        <v>111</v>
      </c>
      <c r="P10" s="2" t="s">
        <v>1720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42.75">
      <c r="A11" s="2" t="s">
        <v>227</v>
      </c>
      <c r="B11" s="2" t="s">
        <v>97</v>
      </c>
      <c r="C11" s="2" t="s">
        <v>1729</v>
      </c>
      <c r="D11" s="2" t="s">
        <v>105</v>
      </c>
      <c r="E11" s="10">
        <v>60</v>
      </c>
      <c r="F11" s="10">
        <v>220</v>
      </c>
      <c r="G11" s="10">
        <v>96</v>
      </c>
      <c r="H11" s="10">
        <v>150</v>
      </c>
      <c r="I11" s="10">
        <v>220</v>
      </c>
      <c r="J11" s="10" t="s">
        <v>1719</v>
      </c>
      <c r="K11" s="10">
        <v>110</v>
      </c>
      <c r="L11" s="10"/>
      <c r="M11" s="10">
        <v>1.5</v>
      </c>
      <c r="N11" s="10">
        <v>98</v>
      </c>
      <c r="O11" s="2" t="s">
        <v>111</v>
      </c>
      <c r="P11" s="2" t="s">
        <v>1720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42.75">
      <c r="A12" s="2" t="s">
        <v>272</v>
      </c>
      <c r="B12" s="2" t="s">
        <v>97</v>
      </c>
      <c r="C12" s="2" t="s">
        <v>1730</v>
      </c>
      <c r="D12" s="2" t="s">
        <v>105</v>
      </c>
      <c r="E12" s="10">
        <v>18</v>
      </c>
      <c r="F12" s="10">
        <v>60</v>
      </c>
      <c r="G12" s="10">
        <v>30</v>
      </c>
      <c r="H12" s="10">
        <v>48</v>
      </c>
      <c r="I12" s="10">
        <v>60</v>
      </c>
      <c r="J12" s="10" t="s">
        <v>1719</v>
      </c>
      <c r="K12" s="10">
        <v>24</v>
      </c>
      <c r="L12" s="10"/>
      <c r="M12" s="10">
        <v>0.28000000000000003</v>
      </c>
      <c r="N12" s="10">
        <v>98</v>
      </c>
      <c r="O12" s="2" t="s">
        <v>255</v>
      </c>
      <c r="P12" s="2" t="s">
        <v>1731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42.75">
      <c r="A13" s="2" t="s">
        <v>277</v>
      </c>
      <c r="B13" s="2" t="s">
        <v>97</v>
      </c>
      <c r="C13" s="2" t="s">
        <v>1732</v>
      </c>
      <c r="D13" s="2" t="s">
        <v>105</v>
      </c>
      <c r="E13" s="10">
        <v>30</v>
      </c>
      <c r="F13" s="10">
        <v>110</v>
      </c>
      <c r="G13" s="10">
        <v>60</v>
      </c>
      <c r="H13" s="10">
        <v>90</v>
      </c>
      <c r="I13" s="10">
        <v>110</v>
      </c>
      <c r="J13" s="10" t="s">
        <v>1719</v>
      </c>
      <c r="K13" s="10">
        <v>48</v>
      </c>
      <c r="L13" s="10"/>
      <c r="M13" s="10">
        <v>0.55000000000000004</v>
      </c>
      <c r="N13" s="10">
        <v>98</v>
      </c>
      <c r="O13" s="2" t="s">
        <v>255</v>
      </c>
      <c r="P13" s="2" t="s">
        <v>1731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28.5">
      <c r="A14" s="2" t="s">
        <v>309</v>
      </c>
      <c r="B14" s="2" t="s">
        <v>97</v>
      </c>
      <c r="C14" s="2" t="s">
        <v>1733</v>
      </c>
      <c r="D14" s="2" t="s">
        <v>252</v>
      </c>
      <c r="E14" s="10">
        <v>18</v>
      </c>
      <c r="F14" s="10">
        <v>60</v>
      </c>
      <c r="G14" s="10">
        <v>30</v>
      </c>
      <c r="H14" s="10">
        <v>48</v>
      </c>
      <c r="I14" s="10">
        <v>60</v>
      </c>
      <c r="J14" s="10" t="s">
        <v>1734</v>
      </c>
      <c r="K14" s="10">
        <v>12</v>
      </c>
      <c r="L14" s="10"/>
      <c r="M14" s="10">
        <v>0.1</v>
      </c>
      <c r="N14" s="10"/>
      <c r="O14" s="2" t="s">
        <v>255</v>
      </c>
      <c r="P14" s="2" t="s">
        <v>1735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28.5">
      <c r="A15" s="2" t="s">
        <v>315</v>
      </c>
      <c r="B15" s="2" t="s">
        <v>97</v>
      </c>
      <c r="C15" s="2" t="s">
        <v>1736</v>
      </c>
      <c r="D15" s="2" t="s">
        <v>252</v>
      </c>
      <c r="E15" s="10">
        <v>18</v>
      </c>
      <c r="F15" s="10">
        <v>60</v>
      </c>
      <c r="G15" s="10">
        <v>30</v>
      </c>
      <c r="H15" s="10">
        <v>48</v>
      </c>
      <c r="I15" s="10">
        <v>60</v>
      </c>
      <c r="J15" s="10" t="s">
        <v>1734</v>
      </c>
      <c r="K15" s="10">
        <v>18</v>
      </c>
      <c r="L15" s="10"/>
      <c r="M15" s="10">
        <v>0.2</v>
      </c>
      <c r="N15" s="10"/>
      <c r="O15" s="2" t="s">
        <v>255</v>
      </c>
      <c r="P15" s="2" t="s">
        <v>1735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28.5">
      <c r="A16" s="2" t="s">
        <v>253</v>
      </c>
      <c r="B16" s="2" t="s">
        <v>97</v>
      </c>
      <c r="C16" s="2" t="s">
        <v>1737</v>
      </c>
      <c r="D16" s="2" t="s">
        <v>252</v>
      </c>
      <c r="E16" s="10">
        <v>20</v>
      </c>
      <c r="F16" s="10">
        <v>100</v>
      </c>
      <c r="G16" s="10"/>
      <c r="H16" s="10"/>
      <c r="I16" s="10">
        <v>100</v>
      </c>
      <c r="J16" s="10" t="s">
        <v>1734</v>
      </c>
      <c r="K16" s="10">
        <v>38</v>
      </c>
      <c r="L16" s="10"/>
      <c r="M16" s="10">
        <v>0.27</v>
      </c>
      <c r="N16" s="10"/>
      <c r="O16" s="2" t="s">
        <v>255</v>
      </c>
      <c r="P16" s="2" t="s">
        <v>1738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28.5">
      <c r="A17" s="2" t="s">
        <v>321</v>
      </c>
      <c r="B17" s="2" t="s">
        <v>97</v>
      </c>
      <c r="C17" s="2" t="s">
        <v>1739</v>
      </c>
      <c r="D17" s="2" t="s">
        <v>252</v>
      </c>
      <c r="E17" s="10">
        <v>18</v>
      </c>
      <c r="F17" s="10">
        <v>60</v>
      </c>
      <c r="G17" s="10">
        <v>30</v>
      </c>
      <c r="H17" s="10">
        <v>48</v>
      </c>
      <c r="I17" s="10">
        <v>60</v>
      </c>
      <c r="J17" s="10" t="s">
        <v>1734</v>
      </c>
      <c r="K17" s="10">
        <v>24</v>
      </c>
      <c r="L17" s="10"/>
      <c r="M17" s="10">
        <v>0.3</v>
      </c>
      <c r="N17" s="10"/>
      <c r="O17" s="2" t="s">
        <v>255</v>
      </c>
      <c r="P17" s="2" t="s">
        <v>1735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28.5">
      <c r="A18" s="2" t="s">
        <v>327</v>
      </c>
      <c r="B18" s="2" t="s">
        <v>97</v>
      </c>
      <c r="C18" s="2" t="s">
        <v>1740</v>
      </c>
      <c r="D18" s="2" t="s">
        <v>252</v>
      </c>
      <c r="E18" s="10">
        <v>30</v>
      </c>
      <c r="F18" s="10">
        <v>110</v>
      </c>
      <c r="G18" s="10">
        <v>60</v>
      </c>
      <c r="H18" s="10">
        <v>90</v>
      </c>
      <c r="I18" s="10">
        <v>110</v>
      </c>
      <c r="J18" s="10" t="s">
        <v>1734</v>
      </c>
      <c r="K18" s="10">
        <v>48</v>
      </c>
      <c r="L18" s="10"/>
      <c r="M18" s="10">
        <v>0.5</v>
      </c>
      <c r="N18" s="10"/>
      <c r="O18" s="2" t="s">
        <v>255</v>
      </c>
      <c r="P18" s="2" t="s">
        <v>1735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28.5">
      <c r="A19" s="2" t="s">
        <v>260</v>
      </c>
      <c r="B19" s="2" t="s">
        <v>97</v>
      </c>
      <c r="C19" s="2" t="s">
        <v>1741</v>
      </c>
      <c r="D19" s="2" t="s">
        <v>252</v>
      </c>
      <c r="E19" s="10">
        <v>22</v>
      </c>
      <c r="F19" s="10">
        <v>150</v>
      </c>
      <c r="G19" s="10"/>
      <c r="H19" s="10"/>
      <c r="I19" s="10">
        <v>150</v>
      </c>
      <c r="J19" s="10" t="s">
        <v>1734</v>
      </c>
      <c r="K19" s="10">
        <v>76</v>
      </c>
      <c r="L19" s="10"/>
      <c r="M19" s="10">
        <v>0.54</v>
      </c>
      <c r="N19" s="10"/>
      <c r="O19" s="2" t="s">
        <v>255</v>
      </c>
      <c r="P19" s="2" t="s">
        <v>1738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28.5">
      <c r="A20" s="2" t="s">
        <v>675</v>
      </c>
      <c r="B20" s="2" t="s">
        <v>97</v>
      </c>
      <c r="C20" s="2" t="s">
        <v>1742</v>
      </c>
      <c r="D20" s="2" t="s">
        <v>252</v>
      </c>
      <c r="E20" s="10">
        <v>30</v>
      </c>
      <c r="F20" s="10">
        <v>110</v>
      </c>
      <c r="G20" s="10">
        <v>60</v>
      </c>
      <c r="H20" s="10">
        <v>90</v>
      </c>
      <c r="I20" s="10">
        <v>110</v>
      </c>
      <c r="J20" s="10" t="s">
        <v>1734</v>
      </c>
      <c r="K20" s="10">
        <v>48</v>
      </c>
      <c r="L20" s="10"/>
      <c r="M20" s="10">
        <v>0.55000000000000004</v>
      </c>
      <c r="N20" s="10"/>
      <c r="O20" s="2" t="s">
        <v>255</v>
      </c>
      <c r="P20" s="2" t="s">
        <v>1743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28.5">
      <c r="A21" s="2" t="s">
        <v>301</v>
      </c>
      <c r="B21" s="2" t="s">
        <v>97</v>
      </c>
      <c r="C21" s="2" t="s">
        <v>1744</v>
      </c>
      <c r="D21" s="2" t="s">
        <v>252</v>
      </c>
      <c r="E21" s="10">
        <v>22</v>
      </c>
      <c r="F21" s="10">
        <v>150</v>
      </c>
      <c r="G21" s="10"/>
      <c r="H21" s="10"/>
      <c r="I21" s="10">
        <v>150</v>
      </c>
      <c r="J21" s="10" t="s">
        <v>1734</v>
      </c>
      <c r="K21" s="10">
        <v>76</v>
      </c>
      <c r="L21" s="10"/>
      <c r="M21" s="10">
        <v>0.56999999999999995</v>
      </c>
      <c r="N21" s="10"/>
      <c r="O21" s="2" t="s">
        <v>255</v>
      </c>
      <c r="P21" s="2" t="s">
        <v>1745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28.5">
      <c r="A22" s="2" t="s">
        <v>654</v>
      </c>
      <c r="B22" s="2" t="s">
        <v>97</v>
      </c>
      <c r="C22" s="2" t="s">
        <v>1746</v>
      </c>
      <c r="D22" s="2" t="s">
        <v>252</v>
      </c>
      <c r="E22" s="10">
        <v>22</v>
      </c>
      <c r="F22" s="10">
        <v>150</v>
      </c>
      <c r="G22" s="10"/>
      <c r="H22" s="10"/>
      <c r="I22" s="10">
        <v>150</v>
      </c>
      <c r="J22" s="10" t="s">
        <v>1734</v>
      </c>
      <c r="K22" s="10">
        <v>76</v>
      </c>
      <c r="L22" s="10"/>
      <c r="M22" s="10">
        <v>0.6</v>
      </c>
      <c r="N22" s="10"/>
      <c r="O22" s="2" t="s">
        <v>255</v>
      </c>
      <c r="P22" s="2" t="s">
        <v>1747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28.5">
      <c r="A23" s="2" t="s">
        <v>664</v>
      </c>
      <c r="B23" s="2" t="s">
        <v>97</v>
      </c>
      <c r="C23" s="2" t="s">
        <v>1748</v>
      </c>
      <c r="D23" s="2" t="s">
        <v>252</v>
      </c>
      <c r="E23" s="10">
        <v>22</v>
      </c>
      <c r="F23" s="10">
        <v>150</v>
      </c>
      <c r="G23" s="10"/>
      <c r="H23" s="10"/>
      <c r="I23" s="10">
        <v>150</v>
      </c>
      <c r="J23" s="10" t="s">
        <v>1734</v>
      </c>
      <c r="K23" s="10">
        <v>114</v>
      </c>
      <c r="L23" s="10"/>
      <c r="M23" s="10">
        <v>0.75</v>
      </c>
      <c r="N23" s="10"/>
      <c r="O23" s="2" t="s">
        <v>255</v>
      </c>
      <c r="P23" s="2" t="s">
        <v>1749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28.5">
      <c r="A24" s="2" t="s">
        <v>690</v>
      </c>
      <c r="B24" s="2" t="s">
        <v>97</v>
      </c>
      <c r="C24" s="2" t="s">
        <v>1750</v>
      </c>
      <c r="D24" s="2" t="s">
        <v>252</v>
      </c>
      <c r="E24" s="10">
        <v>60</v>
      </c>
      <c r="F24" s="10">
        <v>220</v>
      </c>
      <c r="G24" s="10">
        <v>96</v>
      </c>
      <c r="H24" s="10">
        <v>150</v>
      </c>
      <c r="I24" s="10">
        <v>220</v>
      </c>
      <c r="J24" s="10" t="s">
        <v>1734</v>
      </c>
      <c r="K24" s="10">
        <v>110</v>
      </c>
      <c r="L24" s="10"/>
      <c r="M24" s="10">
        <v>1.1000000000000001</v>
      </c>
      <c r="N24" s="10"/>
      <c r="O24" s="2" t="s">
        <v>255</v>
      </c>
      <c r="P24" s="2" t="s">
        <v>1751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42.75">
      <c r="A25" s="2" t="s">
        <v>719</v>
      </c>
      <c r="B25" s="2" t="s">
        <v>97</v>
      </c>
      <c r="C25" s="2" t="s">
        <v>1752</v>
      </c>
      <c r="D25" s="2" t="s">
        <v>105</v>
      </c>
      <c r="E25" s="10">
        <v>80</v>
      </c>
      <c r="F25" s="10">
        <v>430</v>
      </c>
      <c r="G25" s="10">
        <v>180</v>
      </c>
      <c r="H25" s="10">
        <v>350</v>
      </c>
      <c r="I25" s="10">
        <v>430</v>
      </c>
      <c r="J25" s="10" t="s">
        <v>1719</v>
      </c>
      <c r="K25" s="10">
        <v>180</v>
      </c>
      <c r="L25" s="10"/>
      <c r="M25" s="10">
        <v>1.5</v>
      </c>
      <c r="N25" s="10">
        <v>98</v>
      </c>
      <c r="O25" s="2" t="s">
        <v>255</v>
      </c>
      <c r="P25" s="2" t="s">
        <v>1753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42.75">
      <c r="A26" s="2" t="s">
        <v>733</v>
      </c>
      <c r="B26" s="2" t="s">
        <v>97</v>
      </c>
      <c r="C26" s="2" t="s">
        <v>1754</v>
      </c>
      <c r="D26" s="2" t="s">
        <v>105</v>
      </c>
      <c r="E26" s="10">
        <v>80</v>
      </c>
      <c r="F26" s="10">
        <v>430</v>
      </c>
      <c r="G26" s="10">
        <v>280</v>
      </c>
      <c r="H26" s="10">
        <v>350</v>
      </c>
      <c r="I26" s="10">
        <v>430</v>
      </c>
      <c r="J26" s="10" t="s">
        <v>1719</v>
      </c>
      <c r="K26" s="10">
        <v>280</v>
      </c>
      <c r="L26" s="10"/>
      <c r="M26" s="10">
        <v>2.2000000000000002</v>
      </c>
      <c r="N26" s="10">
        <v>98</v>
      </c>
      <c r="O26" s="2" t="s">
        <v>255</v>
      </c>
      <c r="P26" s="2" t="s">
        <v>1753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42.75">
      <c r="A27" s="2" t="s">
        <v>743</v>
      </c>
      <c r="B27" s="2" t="s">
        <v>97</v>
      </c>
      <c r="C27" s="2" t="s">
        <v>1755</v>
      </c>
      <c r="D27" s="2" t="s">
        <v>105</v>
      </c>
      <c r="E27" s="10">
        <v>80</v>
      </c>
      <c r="F27" s="10">
        <v>430</v>
      </c>
      <c r="G27" s="10">
        <v>300</v>
      </c>
      <c r="H27" s="10">
        <v>350</v>
      </c>
      <c r="I27" s="10">
        <v>430</v>
      </c>
      <c r="J27" s="10" t="s">
        <v>1719</v>
      </c>
      <c r="K27" s="10">
        <v>300</v>
      </c>
      <c r="L27" s="10"/>
      <c r="M27" s="10">
        <v>3</v>
      </c>
      <c r="N27" s="10">
        <v>98</v>
      </c>
      <c r="O27" s="2" t="s">
        <v>255</v>
      </c>
      <c r="P27" s="2" t="s">
        <v>1753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42.75">
      <c r="A28" s="2" t="s">
        <v>293</v>
      </c>
      <c r="B28" s="2" t="s">
        <v>97</v>
      </c>
      <c r="C28" s="2" t="s">
        <v>1756</v>
      </c>
      <c r="D28" s="2" t="s">
        <v>292</v>
      </c>
      <c r="E28" s="10">
        <v>80</v>
      </c>
      <c r="F28" s="10">
        <v>430</v>
      </c>
      <c r="G28" s="10">
        <v>96</v>
      </c>
      <c r="H28" s="10">
        <v>350</v>
      </c>
      <c r="I28" s="10">
        <v>430</v>
      </c>
      <c r="J28" s="10" t="s">
        <v>1757</v>
      </c>
      <c r="K28" s="10">
        <v>96</v>
      </c>
      <c r="L28" s="10"/>
      <c r="M28" s="10">
        <v>0.75</v>
      </c>
      <c r="N28" s="10"/>
      <c r="O28" s="2" t="s">
        <v>255</v>
      </c>
      <c r="P28" s="2" t="s">
        <v>1758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42.75">
      <c r="A29" s="2" t="s">
        <v>754</v>
      </c>
      <c r="B29" s="2" t="s">
        <v>97</v>
      </c>
      <c r="C29" s="2" t="s">
        <v>1759</v>
      </c>
      <c r="D29" s="2" t="s">
        <v>292</v>
      </c>
      <c r="E29" s="10">
        <v>80</v>
      </c>
      <c r="F29" s="10">
        <v>430</v>
      </c>
      <c r="G29" s="10">
        <v>150</v>
      </c>
      <c r="H29" s="10">
        <v>350</v>
      </c>
      <c r="I29" s="10">
        <v>430</v>
      </c>
      <c r="J29" s="10" t="s">
        <v>1757</v>
      </c>
      <c r="K29" s="10">
        <v>150</v>
      </c>
      <c r="L29" s="10"/>
      <c r="M29" s="10">
        <v>1.1000000000000001</v>
      </c>
      <c r="N29" s="10"/>
      <c r="O29" s="2" t="s">
        <v>255</v>
      </c>
      <c r="P29" s="2" t="s">
        <v>1758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42.75">
      <c r="A30" s="2" t="s">
        <v>760</v>
      </c>
      <c r="B30" s="2" t="s">
        <v>97</v>
      </c>
      <c r="C30" s="2" t="s">
        <v>1760</v>
      </c>
      <c r="D30" s="2" t="s">
        <v>292</v>
      </c>
      <c r="E30" s="10">
        <v>80</v>
      </c>
      <c r="F30" s="10">
        <v>430</v>
      </c>
      <c r="G30" s="10">
        <v>180</v>
      </c>
      <c r="H30" s="10">
        <v>350</v>
      </c>
      <c r="I30" s="10">
        <v>430</v>
      </c>
      <c r="J30" s="10" t="s">
        <v>1757</v>
      </c>
      <c r="K30" s="10">
        <v>180</v>
      </c>
      <c r="L30" s="10"/>
      <c r="M30" s="10">
        <v>1.5</v>
      </c>
      <c r="N30" s="10"/>
      <c r="O30" s="2" t="s">
        <v>255</v>
      </c>
      <c r="P30" s="2" t="s">
        <v>1758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42.75">
      <c r="A31" s="2" t="s">
        <v>770</v>
      </c>
      <c r="B31" s="2" t="s">
        <v>97</v>
      </c>
      <c r="C31" s="2" t="s">
        <v>1761</v>
      </c>
      <c r="D31" s="2" t="s">
        <v>292</v>
      </c>
      <c r="E31" s="10">
        <v>80</v>
      </c>
      <c r="F31" s="10">
        <v>430</v>
      </c>
      <c r="G31" s="10">
        <v>280</v>
      </c>
      <c r="H31" s="10">
        <v>350</v>
      </c>
      <c r="I31" s="10">
        <v>430</v>
      </c>
      <c r="J31" s="10" t="s">
        <v>1757</v>
      </c>
      <c r="K31" s="10">
        <v>280</v>
      </c>
      <c r="L31" s="10"/>
      <c r="M31" s="10">
        <v>2.2000000000000002</v>
      </c>
      <c r="N31" s="10"/>
      <c r="O31" s="2" t="s">
        <v>255</v>
      </c>
      <c r="P31" s="2" t="s">
        <v>1758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42.75">
      <c r="A32" s="2" t="s">
        <v>780</v>
      </c>
      <c r="B32" s="2" t="s">
        <v>97</v>
      </c>
      <c r="C32" s="2" t="s">
        <v>1762</v>
      </c>
      <c r="D32" s="2" t="s">
        <v>292</v>
      </c>
      <c r="E32" s="10">
        <v>80</v>
      </c>
      <c r="F32" s="10">
        <v>430</v>
      </c>
      <c r="G32" s="10">
        <v>300</v>
      </c>
      <c r="H32" s="10">
        <v>350</v>
      </c>
      <c r="I32" s="10">
        <v>430</v>
      </c>
      <c r="J32" s="10" t="s">
        <v>1757</v>
      </c>
      <c r="K32" s="10">
        <v>300</v>
      </c>
      <c r="L32" s="10"/>
      <c r="M32" s="10">
        <v>3</v>
      </c>
      <c r="N32" s="10"/>
      <c r="O32" s="2" t="s">
        <v>255</v>
      </c>
      <c r="P32" s="2" t="s">
        <v>1758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42.75">
      <c r="A33" s="2" t="s">
        <v>336</v>
      </c>
      <c r="B33" s="2" t="s">
        <v>331</v>
      </c>
      <c r="C33" s="2" t="s">
        <v>1763</v>
      </c>
      <c r="D33" s="2" t="s">
        <v>105</v>
      </c>
      <c r="E33" s="10"/>
      <c r="F33" s="10">
        <v>50</v>
      </c>
      <c r="G33" s="10">
        <v>17</v>
      </c>
      <c r="H33" s="10"/>
      <c r="I33" s="10">
        <v>50</v>
      </c>
      <c r="J33" s="10" t="s">
        <v>1764</v>
      </c>
      <c r="K33" s="10">
        <v>24</v>
      </c>
      <c r="L33" s="10"/>
      <c r="M33" s="10"/>
      <c r="N33" s="10"/>
      <c r="O33" s="2" t="s">
        <v>338</v>
      </c>
      <c r="P33" s="2" t="s">
        <v>1765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42.75">
      <c r="A34" s="2" t="s">
        <v>345</v>
      </c>
      <c r="B34" s="2" t="s">
        <v>331</v>
      </c>
      <c r="C34" s="2" t="s">
        <v>1766</v>
      </c>
      <c r="D34" s="2" t="s">
        <v>105</v>
      </c>
      <c r="E34" s="10"/>
      <c r="F34" s="10">
        <v>100</v>
      </c>
      <c r="G34" s="10">
        <v>34</v>
      </c>
      <c r="H34" s="10"/>
      <c r="I34" s="10">
        <v>100</v>
      </c>
      <c r="J34" s="10" t="s">
        <v>1764</v>
      </c>
      <c r="K34" s="10">
        <v>48</v>
      </c>
      <c r="L34" s="10"/>
      <c r="M34" s="10"/>
      <c r="N34" s="10"/>
      <c r="O34" s="2" t="s">
        <v>347</v>
      </c>
      <c r="P34" s="2" t="s">
        <v>1767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42.75">
      <c r="A35" s="2" t="s">
        <v>352</v>
      </c>
      <c r="B35" s="2" t="s">
        <v>331</v>
      </c>
      <c r="C35" s="2" t="s">
        <v>1768</v>
      </c>
      <c r="D35" s="2" t="s">
        <v>105</v>
      </c>
      <c r="E35" s="10"/>
      <c r="F35" s="10">
        <v>150</v>
      </c>
      <c r="G35" s="10">
        <v>68</v>
      </c>
      <c r="H35" s="10"/>
      <c r="I35" s="10">
        <v>150</v>
      </c>
      <c r="J35" s="10" t="s">
        <v>1764</v>
      </c>
      <c r="K35" s="10">
        <v>72</v>
      </c>
      <c r="L35" s="10"/>
      <c r="M35" s="10"/>
      <c r="N35" s="10"/>
      <c r="O35" s="2" t="s">
        <v>338</v>
      </c>
      <c r="P35" s="2" t="s">
        <v>1769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42.75">
      <c r="A36" s="2" t="s">
        <v>366</v>
      </c>
      <c r="B36" s="2" t="s">
        <v>331</v>
      </c>
      <c r="C36" s="2" t="s">
        <v>1770</v>
      </c>
      <c r="D36" s="2" t="s">
        <v>105</v>
      </c>
      <c r="E36" s="10"/>
      <c r="F36" s="10">
        <v>150</v>
      </c>
      <c r="G36" s="10">
        <v>68</v>
      </c>
      <c r="H36" s="10"/>
      <c r="I36" s="10">
        <v>150</v>
      </c>
      <c r="J36" s="10" t="s">
        <v>1764</v>
      </c>
      <c r="K36" s="10">
        <v>48</v>
      </c>
      <c r="L36" s="10"/>
      <c r="M36" s="10"/>
      <c r="N36" s="10"/>
      <c r="O36" s="2" t="s">
        <v>361</v>
      </c>
      <c r="P36" s="2" t="s">
        <v>1771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42.75">
      <c r="A37" s="2" t="s">
        <v>1015</v>
      </c>
      <c r="B37" s="2" t="s">
        <v>331</v>
      </c>
      <c r="C37" s="2" t="s">
        <v>1772</v>
      </c>
      <c r="D37" s="2" t="s">
        <v>105</v>
      </c>
      <c r="E37" s="10"/>
      <c r="F37" s="10">
        <v>200</v>
      </c>
      <c r="G37" s="10">
        <v>102</v>
      </c>
      <c r="H37" s="10"/>
      <c r="I37" s="10">
        <v>200</v>
      </c>
      <c r="J37" s="10" t="s">
        <v>1764</v>
      </c>
      <c r="K37" s="10">
        <v>96</v>
      </c>
      <c r="L37" s="10"/>
      <c r="M37" s="10"/>
      <c r="N37" s="10"/>
      <c r="O37" s="2" t="s">
        <v>338</v>
      </c>
      <c r="P37" s="2" t="s">
        <v>1773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42.75">
      <c r="A38" s="2" t="s">
        <v>1021</v>
      </c>
      <c r="B38" s="2" t="s">
        <v>331</v>
      </c>
      <c r="C38" s="2" t="s">
        <v>1774</v>
      </c>
      <c r="D38" s="2" t="s">
        <v>105</v>
      </c>
      <c r="E38" s="10"/>
      <c r="F38" s="10">
        <v>375</v>
      </c>
      <c r="G38" s="10">
        <v>238</v>
      </c>
      <c r="H38" s="10"/>
      <c r="I38" s="10">
        <v>375</v>
      </c>
      <c r="J38" s="10" t="s">
        <v>1764</v>
      </c>
      <c r="K38" s="10">
        <v>192</v>
      </c>
      <c r="L38" s="10"/>
      <c r="M38" s="10"/>
      <c r="N38" s="10"/>
      <c r="O38" s="2" t="s">
        <v>338</v>
      </c>
      <c r="P38" s="2" t="s">
        <v>1775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42.75">
      <c r="A39" s="2" t="s">
        <v>375</v>
      </c>
      <c r="B39" s="2" t="s">
        <v>370</v>
      </c>
      <c r="C39" s="2" t="s">
        <v>1776</v>
      </c>
      <c r="D39" s="2" t="s">
        <v>105</v>
      </c>
      <c r="E39" s="10">
        <v>60</v>
      </c>
      <c r="F39" s="10">
        <v>90</v>
      </c>
      <c r="G39" s="10">
        <v>60</v>
      </c>
      <c r="H39" s="10">
        <v>90</v>
      </c>
      <c r="I39" s="10">
        <v>55</v>
      </c>
      <c r="J39" s="10" t="s">
        <v>1777</v>
      </c>
      <c r="K39" s="10">
        <v>24</v>
      </c>
      <c r="L39" s="10"/>
      <c r="M39" s="10">
        <v>0.5</v>
      </c>
      <c r="N39" s="10"/>
      <c r="O39" s="2" t="s">
        <v>377</v>
      </c>
      <c r="P39" s="2" t="s">
        <v>1778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42.75">
      <c r="A40" s="2" t="s">
        <v>382</v>
      </c>
      <c r="B40" s="2" t="s">
        <v>370</v>
      </c>
      <c r="C40" s="2" t="s">
        <v>1779</v>
      </c>
      <c r="D40" s="2" t="s">
        <v>105</v>
      </c>
      <c r="E40" s="10">
        <v>60</v>
      </c>
      <c r="F40" s="10">
        <v>90</v>
      </c>
      <c r="G40" s="10">
        <v>60</v>
      </c>
      <c r="H40" s="10">
        <v>90</v>
      </c>
      <c r="I40" s="10">
        <v>100</v>
      </c>
      <c r="J40" s="10" t="s">
        <v>1777</v>
      </c>
      <c r="K40" s="10">
        <v>48</v>
      </c>
      <c r="L40" s="10"/>
      <c r="M40" s="10">
        <v>0.4</v>
      </c>
      <c r="N40" s="10"/>
      <c r="O40" s="2" t="s">
        <v>377</v>
      </c>
      <c r="P40" s="2" t="s">
        <v>1780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42.75">
      <c r="A41" s="2" t="s">
        <v>388</v>
      </c>
      <c r="B41" s="2" t="s">
        <v>370</v>
      </c>
      <c r="C41" s="2" t="s">
        <v>1781</v>
      </c>
      <c r="D41" s="2" t="s">
        <v>105</v>
      </c>
      <c r="E41" s="10">
        <v>60</v>
      </c>
      <c r="F41" s="10">
        <v>90</v>
      </c>
      <c r="G41" s="10">
        <v>60</v>
      </c>
      <c r="H41" s="10">
        <v>90</v>
      </c>
      <c r="I41" s="10">
        <v>100</v>
      </c>
      <c r="J41" s="10" t="s">
        <v>1777</v>
      </c>
      <c r="K41" s="10">
        <v>48</v>
      </c>
      <c r="L41" s="10"/>
      <c r="M41" s="10">
        <v>0.6</v>
      </c>
      <c r="N41" s="10"/>
      <c r="O41" s="2" t="s">
        <v>377</v>
      </c>
      <c r="P41" s="2" t="s">
        <v>1782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42.75">
      <c r="A42" s="2" t="s">
        <v>394</v>
      </c>
      <c r="B42" s="2" t="s">
        <v>370</v>
      </c>
      <c r="C42" s="2" t="s">
        <v>1783</v>
      </c>
      <c r="D42" s="2" t="s">
        <v>105</v>
      </c>
      <c r="E42" s="10">
        <v>60</v>
      </c>
      <c r="F42" s="10">
        <v>90</v>
      </c>
      <c r="G42" s="10">
        <v>60</v>
      </c>
      <c r="H42" s="10">
        <v>90</v>
      </c>
      <c r="I42" s="10">
        <v>100</v>
      </c>
      <c r="J42" s="10" t="s">
        <v>1777</v>
      </c>
      <c r="K42" s="10">
        <v>48</v>
      </c>
      <c r="L42" s="10"/>
      <c r="M42" s="10">
        <v>0.75</v>
      </c>
      <c r="N42" s="10"/>
      <c r="O42" s="2" t="s">
        <v>377</v>
      </c>
      <c r="P42" s="2" t="s">
        <v>1782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42.75">
      <c r="A43" s="2" t="s">
        <v>399</v>
      </c>
      <c r="B43" s="2" t="s">
        <v>370</v>
      </c>
      <c r="C43" s="2" t="s">
        <v>1784</v>
      </c>
      <c r="D43" s="2" t="s">
        <v>105</v>
      </c>
      <c r="E43" s="10">
        <v>70</v>
      </c>
      <c r="F43" s="10">
        <v>120</v>
      </c>
      <c r="G43" s="10">
        <v>70</v>
      </c>
      <c r="H43" s="10">
        <v>120</v>
      </c>
      <c r="I43" s="10">
        <v>180</v>
      </c>
      <c r="J43" s="10" t="s">
        <v>1777</v>
      </c>
      <c r="K43" s="10">
        <v>72</v>
      </c>
      <c r="L43" s="10"/>
      <c r="M43" s="10">
        <v>0.75</v>
      </c>
      <c r="N43" s="10"/>
      <c r="O43" s="2" t="s">
        <v>377</v>
      </c>
      <c r="P43" s="2" t="s">
        <v>1785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42.75">
      <c r="A44" s="2" t="s">
        <v>1047</v>
      </c>
      <c r="B44" s="2" t="s">
        <v>370</v>
      </c>
      <c r="C44" s="2" t="s">
        <v>1786</v>
      </c>
      <c r="D44" s="2" t="s">
        <v>105</v>
      </c>
      <c r="E44" s="10">
        <v>70</v>
      </c>
      <c r="F44" s="10">
        <v>120</v>
      </c>
      <c r="G44" s="10">
        <v>70</v>
      </c>
      <c r="H44" s="10">
        <v>120</v>
      </c>
      <c r="I44" s="10">
        <v>180</v>
      </c>
      <c r="J44" s="10" t="s">
        <v>1777</v>
      </c>
      <c r="K44" s="10">
        <v>72</v>
      </c>
      <c r="L44" s="10"/>
      <c r="M44" s="10">
        <v>1.1000000000000001</v>
      </c>
      <c r="N44" s="10"/>
      <c r="O44" s="2" t="s">
        <v>377</v>
      </c>
      <c r="P44" s="2" t="s">
        <v>1787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42.75">
      <c r="A45" s="2" t="s">
        <v>1053</v>
      </c>
      <c r="B45" s="2" t="s">
        <v>370</v>
      </c>
      <c r="C45" s="2" t="s">
        <v>1788</v>
      </c>
      <c r="D45" s="2" t="s">
        <v>105</v>
      </c>
      <c r="E45" s="10">
        <v>90</v>
      </c>
      <c r="F45" s="10">
        <v>160</v>
      </c>
      <c r="G45" s="10">
        <v>90</v>
      </c>
      <c r="H45" s="10">
        <v>160</v>
      </c>
      <c r="I45" s="10">
        <v>220</v>
      </c>
      <c r="J45" s="10" t="s">
        <v>1777</v>
      </c>
      <c r="K45" s="10">
        <v>110</v>
      </c>
      <c r="L45" s="10"/>
      <c r="M45" s="10">
        <v>1.1000000000000001</v>
      </c>
      <c r="N45" s="10"/>
      <c r="O45" s="2" t="s">
        <v>377</v>
      </c>
      <c r="P45" s="2" t="s">
        <v>1789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42.75">
      <c r="A46" s="2" t="s">
        <v>1059</v>
      </c>
      <c r="B46" s="2" t="s">
        <v>370</v>
      </c>
      <c r="C46" s="2" t="s">
        <v>1790</v>
      </c>
      <c r="D46" s="2" t="s">
        <v>105</v>
      </c>
      <c r="E46" s="10">
        <v>90</v>
      </c>
      <c r="F46" s="10">
        <v>160</v>
      </c>
      <c r="G46" s="10">
        <v>90</v>
      </c>
      <c r="H46" s="10">
        <v>160</v>
      </c>
      <c r="I46" s="10">
        <v>220</v>
      </c>
      <c r="J46" s="10" t="s">
        <v>1777</v>
      </c>
      <c r="K46" s="10">
        <v>110</v>
      </c>
      <c r="L46" s="10"/>
      <c r="M46" s="10">
        <v>1.3</v>
      </c>
      <c r="N46" s="10"/>
      <c r="O46" s="2" t="s">
        <v>377</v>
      </c>
      <c r="P46" s="2" t="s">
        <v>1791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42.75">
      <c r="A47" s="2" t="s">
        <v>1065</v>
      </c>
      <c r="B47" s="2" t="s">
        <v>370</v>
      </c>
      <c r="C47" s="2" t="s">
        <v>1792</v>
      </c>
      <c r="D47" s="2" t="s">
        <v>105</v>
      </c>
      <c r="E47" s="10">
        <v>90</v>
      </c>
      <c r="F47" s="10">
        <v>160</v>
      </c>
      <c r="G47" s="10">
        <v>90</v>
      </c>
      <c r="H47" s="10">
        <v>160</v>
      </c>
      <c r="I47" s="10">
        <v>220</v>
      </c>
      <c r="J47" s="10" t="s">
        <v>1777</v>
      </c>
      <c r="K47" s="10">
        <v>110</v>
      </c>
      <c r="L47" s="10"/>
      <c r="M47" s="10">
        <v>1.5</v>
      </c>
      <c r="N47" s="10"/>
      <c r="O47" s="2" t="s">
        <v>377</v>
      </c>
      <c r="P47" s="2" t="s">
        <v>1793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42.75">
      <c r="A48" s="2" t="s">
        <v>1071</v>
      </c>
      <c r="B48" s="2" t="s">
        <v>370</v>
      </c>
      <c r="C48" s="2" t="s">
        <v>1794</v>
      </c>
      <c r="D48" s="2" t="s">
        <v>105</v>
      </c>
      <c r="E48" s="10">
        <v>220</v>
      </c>
      <c r="F48" s="10">
        <v>430</v>
      </c>
      <c r="G48" s="10">
        <v>220</v>
      </c>
      <c r="H48" s="10">
        <v>430</v>
      </c>
      <c r="I48" s="10">
        <v>450</v>
      </c>
      <c r="J48" s="10" t="s">
        <v>1777</v>
      </c>
      <c r="K48" s="10">
        <v>220</v>
      </c>
      <c r="L48" s="10"/>
      <c r="M48" s="10">
        <v>2.2000000000000002</v>
      </c>
      <c r="N48" s="10"/>
      <c r="O48" s="2" t="s">
        <v>377</v>
      </c>
      <c r="P48" s="2" t="s">
        <v>1795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85.5">
      <c r="A49" s="2" t="s">
        <v>441</v>
      </c>
      <c r="B49" s="2" t="s">
        <v>436</v>
      </c>
      <c r="C49" s="2" t="s">
        <v>1796</v>
      </c>
      <c r="D49" s="2" t="s">
        <v>105</v>
      </c>
      <c r="E49" s="10">
        <v>18</v>
      </c>
      <c r="F49" s="10">
        <v>80</v>
      </c>
      <c r="G49" s="10">
        <v>30</v>
      </c>
      <c r="H49" s="10"/>
      <c r="I49" s="10">
        <v>80</v>
      </c>
      <c r="J49" s="10" t="s">
        <v>1777</v>
      </c>
      <c r="K49" s="10">
        <v>24</v>
      </c>
      <c r="L49" s="10">
        <v>15</v>
      </c>
      <c r="M49" s="10">
        <v>0.6</v>
      </c>
      <c r="N49" s="10"/>
      <c r="O49" s="2" t="s">
        <v>443</v>
      </c>
      <c r="P49" s="2" t="s">
        <v>1797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85.5">
      <c r="A50" s="2" t="s">
        <v>448</v>
      </c>
      <c r="B50" s="2" t="s">
        <v>436</v>
      </c>
      <c r="C50" s="2" t="s">
        <v>1798</v>
      </c>
      <c r="D50" s="2" t="s">
        <v>105</v>
      </c>
      <c r="E50" s="10">
        <v>30</v>
      </c>
      <c r="F50" s="10">
        <v>150</v>
      </c>
      <c r="G50" s="10">
        <v>60</v>
      </c>
      <c r="H50" s="10"/>
      <c r="I50" s="10">
        <v>150</v>
      </c>
      <c r="J50" s="10" t="s">
        <v>1777</v>
      </c>
      <c r="K50" s="10">
        <v>48</v>
      </c>
      <c r="L50" s="10">
        <v>15</v>
      </c>
      <c r="M50" s="10">
        <v>0.9</v>
      </c>
      <c r="N50" s="10"/>
      <c r="O50" s="2" t="s">
        <v>443</v>
      </c>
      <c r="P50" s="2" t="s">
        <v>1799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85.5">
      <c r="A51" s="2" t="s">
        <v>453</v>
      </c>
      <c r="B51" s="2" t="s">
        <v>436</v>
      </c>
      <c r="C51" s="2" t="s">
        <v>1800</v>
      </c>
      <c r="D51" s="2" t="s">
        <v>105</v>
      </c>
      <c r="E51" s="10">
        <v>50</v>
      </c>
      <c r="F51" s="10">
        <v>200</v>
      </c>
      <c r="G51" s="10">
        <v>90</v>
      </c>
      <c r="H51" s="10"/>
      <c r="I51" s="10">
        <v>200</v>
      </c>
      <c r="J51" s="10" t="s">
        <v>1777</v>
      </c>
      <c r="K51" s="10">
        <v>72</v>
      </c>
      <c r="L51" s="10">
        <v>15</v>
      </c>
      <c r="M51" s="10">
        <v>1.3</v>
      </c>
      <c r="N51" s="10"/>
      <c r="O51" s="2" t="s">
        <v>443</v>
      </c>
      <c r="P51" s="2" t="s">
        <v>1801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85.5">
      <c r="A52" s="2" t="s">
        <v>462</v>
      </c>
      <c r="B52" s="2" t="s">
        <v>436</v>
      </c>
      <c r="C52" s="2" t="s">
        <v>1802</v>
      </c>
      <c r="D52" s="2" t="s">
        <v>105</v>
      </c>
      <c r="E52" s="10">
        <v>60</v>
      </c>
      <c r="F52" s="10">
        <v>200</v>
      </c>
      <c r="G52" s="10">
        <v>110</v>
      </c>
      <c r="H52" s="10"/>
      <c r="I52" s="10">
        <v>200</v>
      </c>
      <c r="J52" s="10" t="s">
        <v>1777</v>
      </c>
      <c r="K52" s="10">
        <v>96</v>
      </c>
      <c r="L52" s="10">
        <v>15</v>
      </c>
      <c r="M52" s="10">
        <v>1.6</v>
      </c>
      <c r="N52" s="10"/>
      <c r="O52" s="2" t="s">
        <v>443</v>
      </c>
      <c r="P52" s="2" t="s">
        <v>1803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85.5">
      <c r="A53" s="2" t="s">
        <v>1113</v>
      </c>
      <c r="B53" s="2" t="s">
        <v>436</v>
      </c>
      <c r="C53" s="2" t="s">
        <v>1804</v>
      </c>
      <c r="D53" s="2" t="s">
        <v>105</v>
      </c>
      <c r="E53" s="10">
        <v>70</v>
      </c>
      <c r="F53" s="10">
        <v>250</v>
      </c>
      <c r="G53" s="10">
        <v>120</v>
      </c>
      <c r="H53" s="10"/>
      <c r="I53" s="10">
        <v>250</v>
      </c>
      <c r="J53" s="10" t="s">
        <v>1777</v>
      </c>
      <c r="K53" s="10">
        <v>110</v>
      </c>
      <c r="L53" s="10">
        <v>15</v>
      </c>
      <c r="M53" s="10">
        <v>1.8</v>
      </c>
      <c r="N53" s="10"/>
      <c r="O53" s="2" t="s">
        <v>443</v>
      </c>
      <c r="P53" s="2" t="s">
        <v>1805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99.75">
      <c r="A54" s="2" t="s">
        <v>1118</v>
      </c>
      <c r="B54" s="2" t="s">
        <v>436</v>
      </c>
      <c r="C54" s="2" t="s">
        <v>1806</v>
      </c>
      <c r="D54" s="2" t="s">
        <v>105</v>
      </c>
      <c r="E54" s="10">
        <v>120</v>
      </c>
      <c r="F54" s="10">
        <v>300</v>
      </c>
      <c r="G54" s="10">
        <v>150</v>
      </c>
      <c r="H54" s="10"/>
      <c r="I54" s="10">
        <v>300</v>
      </c>
      <c r="J54" s="10" t="s">
        <v>1777</v>
      </c>
      <c r="K54" s="10">
        <v>150</v>
      </c>
      <c r="L54" s="10">
        <v>12</v>
      </c>
      <c r="M54" s="10">
        <v>1.6</v>
      </c>
      <c r="N54" s="10"/>
      <c r="O54" s="2" t="s">
        <v>443</v>
      </c>
      <c r="P54" s="2" t="s">
        <v>1807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99.75">
      <c r="A55" s="2" t="s">
        <v>1808</v>
      </c>
      <c r="B55" s="2" t="s">
        <v>436</v>
      </c>
      <c r="C55" s="2" t="s">
        <v>1809</v>
      </c>
      <c r="D55" s="2" t="s">
        <v>105</v>
      </c>
      <c r="E55" s="10">
        <v>160</v>
      </c>
      <c r="F55" s="10">
        <v>350</v>
      </c>
      <c r="G55" s="10">
        <v>200</v>
      </c>
      <c r="H55" s="10"/>
      <c r="I55" s="10">
        <v>350</v>
      </c>
      <c r="J55" s="10" t="s">
        <v>1777</v>
      </c>
      <c r="K55" s="10">
        <v>200</v>
      </c>
      <c r="L55" s="10">
        <v>12</v>
      </c>
      <c r="M55" s="10">
        <v>1.8</v>
      </c>
      <c r="N55" s="10"/>
      <c r="O55" s="2" t="s">
        <v>443</v>
      </c>
      <c r="P55" s="2" t="s">
        <v>1810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99.75">
      <c r="A56" s="2" t="s">
        <v>1811</v>
      </c>
      <c r="B56" s="2" t="s">
        <v>436</v>
      </c>
      <c r="C56" s="2" t="s">
        <v>1812</v>
      </c>
      <c r="D56" s="2" t="s">
        <v>105</v>
      </c>
      <c r="E56" s="10">
        <v>220</v>
      </c>
      <c r="F56" s="10">
        <v>400</v>
      </c>
      <c r="G56" s="10">
        <v>300</v>
      </c>
      <c r="H56" s="10"/>
      <c r="I56" s="10">
        <v>400</v>
      </c>
      <c r="J56" s="10" t="s">
        <v>1777</v>
      </c>
      <c r="K56" s="10">
        <v>300</v>
      </c>
      <c r="L56" s="10">
        <v>12</v>
      </c>
      <c r="M56" s="10">
        <v>2.5</v>
      </c>
      <c r="N56" s="10"/>
      <c r="O56" s="2" t="s">
        <v>443</v>
      </c>
      <c r="P56" s="2" t="s">
        <v>1813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42.75">
      <c r="A57" s="2" t="s">
        <v>517</v>
      </c>
      <c r="B57" s="2" t="s">
        <v>512</v>
      </c>
      <c r="C57" s="2" t="s">
        <v>1814</v>
      </c>
      <c r="D57" s="2" t="s">
        <v>292</v>
      </c>
      <c r="E57" s="10">
        <v>30</v>
      </c>
      <c r="F57" s="10">
        <v>300</v>
      </c>
      <c r="G57" s="10"/>
      <c r="H57" s="10"/>
      <c r="I57" s="10">
        <v>300</v>
      </c>
      <c r="J57" s="10" t="s">
        <v>1815</v>
      </c>
      <c r="K57" s="10"/>
      <c r="L57" s="10">
        <v>12</v>
      </c>
      <c r="M57" s="10"/>
      <c r="N57" s="10"/>
      <c r="O57" s="2" t="s">
        <v>519</v>
      </c>
      <c r="P57" s="2" t="s">
        <v>1816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42.75">
      <c r="A58" s="2" t="s">
        <v>1143</v>
      </c>
      <c r="B58" s="2" t="s">
        <v>512</v>
      </c>
      <c r="C58" s="2" t="s">
        <v>1817</v>
      </c>
      <c r="D58" s="2" t="s">
        <v>292</v>
      </c>
      <c r="E58" s="10">
        <v>100</v>
      </c>
      <c r="F58" s="10">
        <v>300</v>
      </c>
      <c r="G58" s="10"/>
      <c r="H58" s="10"/>
      <c r="I58" s="10">
        <v>300</v>
      </c>
      <c r="J58" s="10" t="s">
        <v>1815</v>
      </c>
      <c r="K58" s="10"/>
      <c r="L58" s="10">
        <v>12</v>
      </c>
      <c r="M58" s="10">
        <v>2.5</v>
      </c>
      <c r="N58" s="10"/>
      <c r="O58" s="2" t="s">
        <v>519</v>
      </c>
      <c r="P58" s="2" t="s">
        <v>1818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42.75">
      <c r="A59" s="2" t="s">
        <v>569</v>
      </c>
      <c r="B59" s="2" t="s">
        <v>564</v>
      </c>
      <c r="C59" s="2" t="s">
        <v>1819</v>
      </c>
      <c r="D59" s="2" t="s">
        <v>105</v>
      </c>
      <c r="E59" s="10"/>
      <c r="F59" s="10"/>
      <c r="G59" s="10"/>
      <c r="H59" s="10"/>
      <c r="I59" s="10"/>
      <c r="J59" s="10" t="s">
        <v>1820</v>
      </c>
      <c r="K59" s="10"/>
      <c r="L59" s="10"/>
      <c r="M59" s="10">
        <v>0.373</v>
      </c>
      <c r="N59" s="10"/>
      <c r="O59" s="2" t="s">
        <v>571</v>
      </c>
      <c r="P59" s="2" t="s">
        <v>1821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42.75">
      <c r="A60" s="2" t="s">
        <v>591</v>
      </c>
      <c r="B60" s="2" t="s">
        <v>564</v>
      </c>
      <c r="C60" s="2" t="s">
        <v>1822</v>
      </c>
      <c r="D60" s="2" t="s">
        <v>105</v>
      </c>
      <c r="E60" s="10"/>
      <c r="F60" s="10"/>
      <c r="G60" s="10"/>
      <c r="H60" s="10"/>
      <c r="I60" s="10"/>
      <c r="J60" s="10" t="s">
        <v>1820</v>
      </c>
      <c r="K60" s="10"/>
      <c r="L60" s="10"/>
      <c r="M60" s="10">
        <v>0.55900000000000005</v>
      </c>
      <c r="N60" s="10"/>
      <c r="O60" s="2" t="s">
        <v>571</v>
      </c>
      <c r="P60" s="2" t="s">
        <v>1821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42.75">
      <c r="A61" s="2" t="s">
        <v>621</v>
      </c>
      <c r="B61" s="2" t="s">
        <v>564</v>
      </c>
      <c r="C61" s="2" t="s">
        <v>1823</v>
      </c>
      <c r="D61" s="2" t="s">
        <v>105</v>
      </c>
      <c r="E61" s="10"/>
      <c r="F61" s="10"/>
      <c r="G61" s="10"/>
      <c r="H61" s="10"/>
      <c r="I61" s="10"/>
      <c r="J61" s="10" t="s">
        <v>1820</v>
      </c>
      <c r="K61" s="10"/>
      <c r="L61" s="10"/>
      <c r="M61" s="10">
        <v>1.119</v>
      </c>
      <c r="N61" s="10"/>
      <c r="O61" s="2" t="s">
        <v>571</v>
      </c>
      <c r="P61" s="2" t="s">
        <v>1821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42.75">
      <c r="A62" s="2" t="s">
        <v>1537</v>
      </c>
      <c r="B62" s="2" t="s">
        <v>564</v>
      </c>
      <c r="C62" s="2" t="s">
        <v>1824</v>
      </c>
      <c r="D62" s="2" t="s">
        <v>105</v>
      </c>
      <c r="E62" s="10"/>
      <c r="F62" s="10"/>
      <c r="G62" s="10"/>
      <c r="H62" s="10"/>
      <c r="I62" s="10"/>
      <c r="J62" s="10" t="s">
        <v>1820</v>
      </c>
      <c r="K62" s="10"/>
      <c r="L62" s="10"/>
      <c r="M62" s="10">
        <v>3.7280000000000002</v>
      </c>
      <c r="N62" s="10"/>
      <c r="O62" s="2" t="s">
        <v>571</v>
      </c>
      <c r="P62" s="2" t="s">
        <v>1821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42.75">
      <c r="A63" s="2" t="s">
        <v>1613</v>
      </c>
      <c r="B63" s="2" t="s">
        <v>564</v>
      </c>
      <c r="C63" s="2" t="s">
        <v>1825</v>
      </c>
      <c r="D63" s="2" t="s">
        <v>105</v>
      </c>
      <c r="E63" s="10"/>
      <c r="F63" s="10"/>
      <c r="G63" s="10"/>
      <c r="H63" s="10"/>
      <c r="I63" s="10"/>
      <c r="J63" s="10" t="s">
        <v>1820</v>
      </c>
      <c r="K63" s="10"/>
      <c r="L63" s="10"/>
      <c r="M63" s="10">
        <v>5.593</v>
      </c>
      <c r="N63" s="10"/>
      <c r="O63" s="2" t="s">
        <v>571</v>
      </c>
      <c r="P63" s="2" t="s">
        <v>1821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42.75">
      <c r="A64" s="2" t="s">
        <v>1684</v>
      </c>
      <c r="B64" s="2" t="s">
        <v>564</v>
      </c>
      <c r="C64" s="2" t="s">
        <v>1826</v>
      </c>
      <c r="D64" s="2" t="s">
        <v>105</v>
      </c>
      <c r="E64" s="10"/>
      <c r="F64" s="10"/>
      <c r="G64" s="10"/>
      <c r="H64" s="10"/>
      <c r="I64" s="10"/>
      <c r="J64" s="10" t="s">
        <v>1820</v>
      </c>
      <c r="K64" s="10"/>
      <c r="L64" s="10"/>
      <c r="M64" s="10">
        <v>7.4569999999999999</v>
      </c>
      <c r="N64" s="10"/>
      <c r="O64" s="2" t="s">
        <v>571</v>
      </c>
      <c r="P64" s="2" t="s">
        <v>1821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14">
      <c r="A65" s="2" t="s">
        <v>1293</v>
      </c>
      <c r="B65" s="2" t="s">
        <v>331</v>
      </c>
      <c r="C65" s="2" t="s">
        <v>1827</v>
      </c>
      <c r="D65" s="2" t="s">
        <v>292</v>
      </c>
      <c r="E65" s="10"/>
      <c r="F65" s="10">
        <v>850</v>
      </c>
      <c r="G65" s="10"/>
      <c r="H65" s="10"/>
      <c r="I65" s="10">
        <v>850</v>
      </c>
      <c r="J65" s="10" t="s">
        <v>1828</v>
      </c>
      <c r="K65" s="10"/>
      <c r="L65" s="10"/>
      <c r="M65" s="10"/>
      <c r="N65" s="10"/>
      <c r="O65" s="2" t="s">
        <v>1295</v>
      </c>
      <c r="P65" s="2" t="s">
        <v>1829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14">
      <c r="A66" s="2" t="s">
        <v>1300</v>
      </c>
      <c r="B66" s="2" t="s">
        <v>331</v>
      </c>
      <c r="C66" s="2" t="s">
        <v>1830</v>
      </c>
      <c r="D66" s="2" t="s">
        <v>292</v>
      </c>
      <c r="E66" s="10"/>
      <c r="F66" s="10">
        <v>850</v>
      </c>
      <c r="G66" s="10"/>
      <c r="H66" s="10"/>
      <c r="I66" s="10">
        <v>850</v>
      </c>
      <c r="J66" s="10" t="s">
        <v>1828</v>
      </c>
      <c r="K66" s="10"/>
      <c r="L66" s="10"/>
      <c r="M66" s="10"/>
      <c r="N66" s="10"/>
      <c r="O66" s="2" t="s">
        <v>1295</v>
      </c>
      <c r="P66" s="2" t="s">
        <v>1829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14">
      <c r="A67" s="2" t="s">
        <v>1306</v>
      </c>
      <c r="B67" s="2" t="s">
        <v>331</v>
      </c>
      <c r="C67" s="2" t="s">
        <v>1831</v>
      </c>
      <c r="D67" s="2" t="s">
        <v>292</v>
      </c>
      <c r="E67" s="10"/>
      <c r="F67" s="10">
        <v>850</v>
      </c>
      <c r="G67" s="10"/>
      <c r="H67" s="10"/>
      <c r="I67" s="10">
        <v>850</v>
      </c>
      <c r="J67" s="10" t="s">
        <v>1828</v>
      </c>
      <c r="K67" s="10"/>
      <c r="L67" s="10"/>
      <c r="M67" s="10"/>
      <c r="N67" s="10"/>
      <c r="O67" s="2" t="s">
        <v>1295</v>
      </c>
      <c r="P67" s="2" t="s">
        <v>1829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14">
      <c r="A68" s="2" t="s">
        <v>1312</v>
      </c>
      <c r="B68" s="2" t="s">
        <v>331</v>
      </c>
      <c r="C68" s="2" t="s">
        <v>1832</v>
      </c>
      <c r="D68" s="2" t="s">
        <v>292</v>
      </c>
      <c r="E68" s="10"/>
      <c r="F68" s="10">
        <v>850</v>
      </c>
      <c r="G68" s="10"/>
      <c r="H68" s="10"/>
      <c r="I68" s="10">
        <v>850</v>
      </c>
      <c r="J68" s="10" t="s">
        <v>1828</v>
      </c>
      <c r="K68" s="10"/>
      <c r="L68" s="10"/>
      <c r="M68" s="10"/>
      <c r="N68" s="10"/>
      <c r="O68" s="2" t="s">
        <v>1295</v>
      </c>
      <c r="P68" s="2" t="s">
        <v>1829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14">
      <c r="A69" s="2" t="s">
        <v>1318</v>
      </c>
      <c r="B69" s="2" t="s">
        <v>331</v>
      </c>
      <c r="C69" s="2" t="s">
        <v>1833</v>
      </c>
      <c r="D69" s="2" t="s">
        <v>292</v>
      </c>
      <c r="E69" s="10"/>
      <c r="F69" s="10">
        <v>850</v>
      </c>
      <c r="G69" s="10"/>
      <c r="H69" s="10"/>
      <c r="I69" s="10">
        <v>850</v>
      </c>
      <c r="J69" s="10" t="s">
        <v>1828</v>
      </c>
      <c r="K69" s="10"/>
      <c r="L69" s="10"/>
      <c r="M69" s="10"/>
      <c r="N69" s="10"/>
      <c r="O69" s="2" t="s">
        <v>1295</v>
      </c>
      <c r="P69" s="2" t="s">
        <v>1829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14">
      <c r="A70" s="2" t="s">
        <v>1324</v>
      </c>
      <c r="B70" s="2" t="s">
        <v>331</v>
      </c>
      <c r="C70" s="2" t="s">
        <v>1834</v>
      </c>
      <c r="D70" s="2" t="s">
        <v>292</v>
      </c>
      <c r="E70" s="10"/>
      <c r="F70" s="10">
        <v>850</v>
      </c>
      <c r="G70" s="10"/>
      <c r="H70" s="10"/>
      <c r="I70" s="10">
        <v>850</v>
      </c>
      <c r="J70" s="10" t="s">
        <v>1828</v>
      </c>
      <c r="K70" s="10"/>
      <c r="L70" s="10"/>
      <c r="M70" s="10"/>
      <c r="N70" s="10"/>
      <c r="O70" s="2" t="s">
        <v>1295</v>
      </c>
      <c r="P70" s="2" t="s">
        <v>1829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99.75">
      <c r="A71" s="2" t="s">
        <v>1401</v>
      </c>
      <c r="B71" s="2" t="s">
        <v>1397</v>
      </c>
      <c r="C71" s="2" t="s">
        <v>1835</v>
      </c>
      <c r="D71" s="2" t="s">
        <v>1163</v>
      </c>
      <c r="E71" s="10"/>
      <c r="F71" s="10"/>
      <c r="G71" s="10"/>
      <c r="H71" s="10"/>
      <c r="I71" s="10"/>
      <c r="J71" s="10" t="s">
        <v>1836</v>
      </c>
      <c r="K71" s="10">
        <v>400</v>
      </c>
      <c r="L71" s="10"/>
      <c r="M71" s="10"/>
      <c r="N71" s="10"/>
      <c r="O71" s="2" t="s">
        <v>1403</v>
      </c>
      <c r="P71" s="2" t="s">
        <v>1837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57">
      <c r="A72" s="2" t="s">
        <v>1361</v>
      </c>
      <c r="B72" s="2" t="s">
        <v>1355</v>
      </c>
      <c r="C72" s="2" t="s">
        <v>1838</v>
      </c>
      <c r="D72" s="2" t="s">
        <v>292</v>
      </c>
      <c r="E72" s="10"/>
      <c r="F72" s="10"/>
      <c r="G72" s="10"/>
      <c r="H72" s="10"/>
      <c r="I72" s="10"/>
      <c r="J72" s="10" t="s">
        <v>1839</v>
      </c>
      <c r="K72" s="10"/>
      <c r="L72" s="10"/>
      <c r="M72" s="10">
        <v>200</v>
      </c>
      <c r="N72" s="10"/>
      <c r="O72" s="2" t="s">
        <v>1363</v>
      </c>
      <c r="P72" s="2" t="s">
        <v>1840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/>
      <c r="B73" s="2"/>
      <c r="C73" s="2"/>
      <c r="D73" s="2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/>
      <c r="B74" s="2"/>
      <c r="C74" s="2"/>
      <c r="D74" s="2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/>
      <c r="B75" s="2"/>
      <c r="C75" s="2"/>
      <c r="D75" s="2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/>
      <c r="B76" s="2"/>
      <c r="C76" s="2"/>
      <c r="D76" s="2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/>
      <c r="B77" s="2"/>
      <c r="C77" s="2"/>
      <c r="D77" s="2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/>
      <c r="B78" s="2"/>
      <c r="C78" s="2"/>
      <c r="D78" s="2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/>
      <c r="B79" s="2"/>
      <c r="C79" s="2"/>
      <c r="D79" s="2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/>
      <c r="B80" s="2"/>
      <c r="C80" s="2"/>
      <c r="D80" s="2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/>
      <c r="B81" s="2"/>
      <c r="C81" s="2"/>
      <c r="D81" s="2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/>
      <c r="B82" s="2"/>
      <c r="C82" s="2"/>
      <c r="D82" s="2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/>
      <c r="B83" s="2"/>
      <c r="C83" s="2"/>
      <c r="D83" s="2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/>
      <c r="B84" s="2"/>
      <c r="C84" s="2"/>
      <c r="D84" s="2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/>
      <c r="B85" s="2"/>
      <c r="C85" s="2"/>
      <c r="D85" s="2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/>
      <c r="B86" s="2"/>
      <c r="C86" s="2"/>
      <c r="D86" s="2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/>
      <c r="B87" s="2"/>
      <c r="C87" s="2"/>
      <c r="D87" s="2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/>
      <c r="B88" s="2"/>
      <c r="C88" s="2"/>
      <c r="D88" s="2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/>
      <c r="B89" s="2"/>
      <c r="C89" s="2"/>
      <c r="D89" s="2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/>
      <c r="B90" s="2"/>
      <c r="C90" s="2"/>
      <c r="D90" s="2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/>
      <c r="B91" s="2"/>
      <c r="C91" s="2"/>
      <c r="D91" s="2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/>
      <c r="B92" s="2"/>
      <c r="C92" s="2"/>
      <c r="D92" s="2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/>
      <c r="B93" s="2"/>
      <c r="C93" s="2"/>
      <c r="D93" s="2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/>
      <c r="B94" s="2"/>
      <c r="C94" s="2"/>
      <c r="D94" s="2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/>
      <c r="B95" s="2"/>
      <c r="C95" s="2"/>
      <c r="D95" s="2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/>
      <c r="B96" s="2"/>
      <c r="C96" s="2"/>
      <c r="D96" s="2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/>
      <c r="B97" s="2"/>
      <c r="C97" s="2"/>
      <c r="D97" s="2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/>
      <c r="B98" s="2"/>
      <c r="C98" s="2"/>
      <c r="D98" s="2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5:14">
      <c r="E401" s="11"/>
      <c r="F401" s="11"/>
      <c r="G401" s="11"/>
      <c r="H401" s="11"/>
      <c r="I401" s="11"/>
      <c r="J401" s="11"/>
      <c r="K401" s="11"/>
      <c r="L401" s="11"/>
      <c r="M401" s="11"/>
      <c r="N401" s="11"/>
    </row>
    <row r="402" spans="5:14">
      <c r="E402" s="11"/>
      <c r="F402" s="11"/>
      <c r="G402" s="11"/>
      <c r="H402" s="11"/>
      <c r="I402" s="11"/>
      <c r="J402" s="11"/>
      <c r="K402" s="11"/>
      <c r="L402" s="11"/>
      <c r="M402" s="11"/>
      <c r="N402" s="11"/>
    </row>
    <row r="403" spans="5:14">
      <c r="E403" s="11"/>
      <c r="F403" s="11"/>
      <c r="G403" s="11"/>
      <c r="H403" s="11"/>
      <c r="I403" s="11"/>
      <c r="J403" s="11"/>
      <c r="K403" s="11"/>
      <c r="L403" s="11"/>
      <c r="M403" s="11"/>
      <c r="N403" s="11"/>
    </row>
    <row r="404" spans="5:14">
      <c r="E404" s="11"/>
      <c r="F404" s="11"/>
      <c r="G404" s="11"/>
      <c r="H404" s="11"/>
      <c r="I404" s="11"/>
      <c r="J404" s="11"/>
      <c r="K404" s="11"/>
      <c r="L404" s="11"/>
      <c r="M404" s="11"/>
      <c r="N404" s="11"/>
    </row>
    <row r="405" spans="5:14">
      <c r="E405" s="11"/>
      <c r="F405" s="11"/>
      <c r="G405" s="11"/>
      <c r="H405" s="11"/>
      <c r="I405" s="11"/>
      <c r="J405" s="11"/>
      <c r="K405" s="11"/>
      <c r="L405" s="11"/>
      <c r="M405" s="11"/>
      <c r="N405" s="11"/>
    </row>
    <row r="406" spans="5:14">
      <c r="E406" s="11"/>
      <c r="F406" s="11"/>
      <c r="G406" s="11"/>
      <c r="H406" s="11"/>
      <c r="I406" s="11"/>
      <c r="J406" s="11"/>
      <c r="K406" s="11"/>
      <c r="L406" s="11"/>
      <c r="M406" s="11"/>
      <c r="N406" s="11"/>
    </row>
    <row r="407" spans="5:14">
      <c r="E407" s="11"/>
      <c r="F407" s="11"/>
      <c r="G407" s="11"/>
      <c r="H407" s="11"/>
      <c r="I407" s="11"/>
      <c r="J407" s="11"/>
      <c r="K407" s="11"/>
      <c r="L407" s="11"/>
      <c r="M407" s="11"/>
      <c r="N407" s="11"/>
    </row>
    <row r="408" spans="5:14">
      <c r="E408" s="11"/>
      <c r="F408" s="11"/>
      <c r="G408" s="11"/>
      <c r="H408" s="11"/>
      <c r="I408" s="11"/>
      <c r="J408" s="11"/>
      <c r="K408" s="11"/>
      <c r="L408" s="11"/>
      <c r="M408" s="11"/>
      <c r="N408" s="11"/>
    </row>
    <row r="409" spans="5:14">
      <c r="E409" s="11"/>
      <c r="F409" s="11"/>
      <c r="G409" s="11"/>
      <c r="H409" s="11"/>
      <c r="I409" s="11"/>
      <c r="J409" s="11"/>
      <c r="K409" s="11"/>
      <c r="L409" s="11"/>
      <c r="M409" s="11"/>
      <c r="N409" s="11"/>
    </row>
    <row r="410" spans="5:14">
      <c r="E410" s="11"/>
      <c r="F410" s="11"/>
      <c r="G410" s="11"/>
      <c r="H410" s="11"/>
      <c r="I410" s="11"/>
      <c r="J410" s="11"/>
      <c r="K410" s="11"/>
      <c r="L410" s="11"/>
      <c r="M410" s="11"/>
      <c r="N410" s="11"/>
    </row>
    <row r="411" spans="5:14">
      <c r="E411" s="11"/>
      <c r="F411" s="11"/>
      <c r="G411" s="11"/>
      <c r="H411" s="11"/>
      <c r="I411" s="11"/>
      <c r="J411" s="11"/>
      <c r="K411" s="11"/>
      <c r="L411" s="11"/>
      <c r="M411" s="11"/>
      <c r="N411" s="11"/>
    </row>
    <row r="412" spans="5:14">
      <c r="E412" s="11"/>
      <c r="F412" s="11"/>
      <c r="G412" s="11"/>
      <c r="H412" s="11"/>
      <c r="I412" s="11"/>
      <c r="J412" s="11"/>
      <c r="K412" s="11"/>
      <c r="L412" s="11"/>
      <c r="M412" s="11"/>
      <c r="N412" s="11"/>
    </row>
    <row r="413" spans="5:14">
      <c r="E413" s="11"/>
      <c r="F413" s="11"/>
      <c r="G413" s="11"/>
      <c r="H413" s="11"/>
      <c r="I413" s="11"/>
      <c r="J413" s="11"/>
      <c r="K413" s="11"/>
      <c r="L413" s="11"/>
      <c r="M413" s="11"/>
      <c r="N413" s="11"/>
    </row>
    <row r="414" spans="5:14">
      <c r="E414" s="11"/>
      <c r="F414" s="11"/>
      <c r="G414" s="11"/>
      <c r="H414" s="11"/>
      <c r="I414" s="11"/>
      <c r="J414" s="11"/>
      <c r="K414" s="11"/>
      <c r="L414" s="11"/>
      <c r="M414" s="11"/>
      <c r="N414" s="11"/>
    </row>
    <row r="415" spans="5:14">
      <c r="E415" s="11"/>
      <c r="F415" s="11"/>
      <c r="G415" s="11"/>
      <c r="H415" s="11"/>
      <c r="I415" s="11"/>
      <c r="J415" s="11"/>
      <c r="K415" s="11"/>
      <c r="L415" s="11"/>
      <c r="M415" s="11"/>
      <c r="N415" s="11"/>
    </row>
    <row r="416" spans="5:14">
      <c r="E416" s="11"/>
      <c r="F416" s="11"/>
      <c r="G416" s="11"/>
      <c r="H416" s="11"/>
      <c r="I416" s="11"/>
      <c r="J416" s="11"/>
      <c r="K416" s="11"/>
      <c r="L416" s="11"/>
      <c r="M416" s="11"/>
      <c r="N416" s="11"/>
    </row>
    <row r="417" spans="5:14">
      <c r="E417" s="11"/>
      <c r="F417" s="11"/>
      <c r="G417" s="11"/>
      <c r="H417" s="11"/>
      <c r="I417" s="11"/>
      <c r="J417" s="11"/>
      <c r="K417" s="11"/>
      <c r="L417" s="11"/>
      <c r="M417" s="11"/>
      <c r="N417" s="11"/>
    </row>
    <row r="418" spans="5:14">
      <c r="E418" s="11"/>
      <c r="F418" s="11"/>
      <c r="G418" s="11"/>
      <c r="H418" s="11"/>
      <c r="I418" s="11"/>
      <c r="J418" s="11"/>
      <c r="K418" s="11"/>
      <c r="L418" s="11"/>
      <c r="M418" s="11"/>
      <c r="N418" s="11"/>
    </row>
    <row r="419" spans="5:14">
      <c r="E419" s="11"/>
      <c r="F419" s="11"/>
      <c r="G419" s="11"/>
      <c r="H419" s="11"/>
      <c r="I419" s="11"/>
      <c r="J419" s="11"/>
      <c r="K419" s="11"/>
      <c r="L419" s="11"/>
      <c r="M419" s="11"/>
      <c r="N419" s="11"/>
    </row>
    <row r="420" spans="5:14">
      <c r="E420" s="11"/>
      <c r="F420" s="11"/>
      <c r="G420" s="11"/>
      <c r="H420" s="11"/>
      <c r="I420" s="11"/>
      <c r="J420" s="11"/>
      <c r="K420" s="11"/>
      <c r="L420" s="11"/>
      <c r="M420" s="11"/>
      <c r="N420" s="11"/>
    </row>
    <row r="421" spans="5:14">
      <c r="E421" s="11"/>
      <c r="F421" s="11"/>
      <c r="G421" s="11"/>
      <c r="H421" s="11"/>
      <c r="I421" s="11"/>
      <c r="J421" s="11"/>
      <c r="K421" s="11"/>
      <c r="L421" s="11"/>
      <c r="M421" s="11"/>
      <c r="N421" s="11"/>
    </row>
    <row r="422" spans="5:14">
      <c r="E422" s="11"/>
      <c r="F422" s="11"/>
      <c r="G422" s="11"/>
      <c r="H422" s="11"/>
      <c r="I422" s="11"/>
      <c r="J422" s="11"/>
      <c r="K422" s="11"/>
      <c r="L422" s="11"/>
      <c r="M422" s="11"/>
      <c r="N422" s="11"/>
    </row>
    <row r="423" spans="5:14">
      <c r="E423" s="11"/>
      <c r="F423" s="11"/>
      <c r="G423" s="11"/>
      <c r="H423" s="11"/>
      <c r="I423" s="11"/>
      <c r="J423" s="11"/>
      <c r="K423" s="11"/>
      <c r="L423" s="11"/>
      <c r="M423" s="11"/>
      <c r="N423" s="11"/>
    </row>
    <row r="424" spans="5:14">
      <c r="E424" s="11"/>
      <c r="F424" s="11"/>
      <c r="G424" s="11"/>
      <c r="H424" s="11"/>
      <c r="I424" s="11"/>
      <c r="J424" s="11"/>
      <c r="K424" s="11"/>
      <c r="L424" s="11"/>
      <c r="M424" s="11"/>
      <c r="N424" s="11"/>
    </row>
    <row r="425" spans="5:14">
      <c r="E425" s="11"/>
      <c r="F425" s="11"/>
      <c r="G425" s="11"/>
      <c r="H425" s="11"/>
      <c r="I425" s="11"/>
      <c r="J425" s="11"/>
      <c r="K425" s="11"/>
      <c r="L425" s="11"/>
      <c r="M425" s="11"/>
      <c r="N425" s="11"/>
    </row>
    <row r="426" spans="5:14">
      <c r="E426" s="11"/>
      <c r="F426" s="11"/>
      <c r="G426" s="11"/>
      <c r="H426" s="11"/>
      <c r="I426" s="11"/>
      <c r="J426" s="11"/>
      <c r="K426" s="11"/>
      <c r="L426" s="11"/>
      <c r="M426" s="11"/>
      <c r="N426" s="11"/>
    </row>
    <row r="427" spans="5:14">
      <c r="E427" s="11"/>
      <c r="F427" s="11"/>
      <c r="G427" s="11"/>
      <c r="H427" s="11"/>
      <c r="I427" s="11"/>
      <c r="J427" s="11"/>
      <c r="K427" s="11"/>
      <c r="L427" s="11"/>
      <c r="M427" s="11"/>
      <c r="N427" s="11"/>
    </row>
    <row r="428" spans="5:14">
      <c r="E428" s="11"/>
      <c r="F428" s="11"/>
      <c r="G428" s="11"/>
      <c r="H428" s="11"/>
      <c r="I428" s="11"/>
      <c r="J428" s="11"/>
      <c r="K428" s="11"/>
      <c r="L428" s="11"/>
      <c r="M428" s="11"/>
      <c r="N428" s="11"/>
    </row>
    <row r="429" spans="5:14">
      <c r="E429" s="11"/>
      <c r="F429" s="11"/>
      <c r="G429" s="11"/>
      <c r="H429" s="11"/>
      <c r="I429" s="11"/>
      <c r="J429" s="11"/>
      <c r="K429" s="11"/>
      <c r="L429" s="11"/>
      <c r="M429" s="11"/>
      <c r="N429" s="11"/>
    </row>
    <row r="430" spans="5:14">
      <c r="E430" s="11"/>
      <c r="F430" s="11"/>
      <c r="G430" s="11"/>
      <c r="H430" s="11"/>
      <c r="I430" s="11"/>
      <c r="J430" s="11"/>
      <c r="K430" s="11"/>
      <c r="L430" s="11"/>
      <c r="M430" s="11"/>
      <c r="N430" s="11"/>
    </row>
    <row r="431" spans="5:14">
      <c r="E431" s="11"/>
      <c r="F431" s="11"/>
      <c r="G431" s="11"/>
      <c r="H431" s="11"/>
      <c r="I431" s="11"/>
      <c r="J431" s="11"/>
      <c r="K431" s="11"/>
      <c r="L431" s="11"/>
      <c r="M431" s="11"/>
      <c r="N431" s="11"/>
    </row>
    <row r="432" spans="5:14">
      <c r="E432" s="11"/>
      <c r="F432" s="11"/>
      <c r="G432" s="11"/>
      <c r="H432" s="11"/>
      <c r="I432" s="11"/>
      <c r="J432" s="11"/>
      <c r="K432" s="11"/>
      <c r="L432" s="11"/>
      <c r="M432" s="11"/>
      <c r="N432" s="11"/>
    </row>
    <row r="433" spans="5:14">
      <c r="E433" s="11"/>
      <c r="F433" s="11"/>
      <c r="G433" s="11"/>
      <c r="H433" s="11"/>
      <c r="I433" s="11"/>
      <c r="J433" s="11"/>
      <c r="K433" s="11"/>
      <c r="L433" s="11"/>
      <c r="M433" s="11"/>
      <c r="N433" s="11"/>
    </row>
    <row r="434" spans="5:14">
      <c r="E434" s="11"/>
      <c r="F434" s="11"/>
      <c r="G434" s="11"/>
      <c r="H434" s="11"/>
      <c r="I434" s="11"/>
      <c r="J434" s="11"/>
      <c r="K434" s="11"/>
      <c r="L434" s="11"/>
      <c r="M434" s="11"/>
      <c r="N434" s="11"/>
    </row>
    <row r="435" spans="5:14">
      <c r="E435" s="11"/>
      <c r="F435" s="11"/>
      <c r="G435" s="11"/>
      <c r="H435" s="11"/>
      <c r="I435" s="11"/>
      <c r="J435" s="11"/>
      <c r="K435" s="11"/>
      <c r="L435" s="11"/>
      <c r="M435" s="11"/>
      <c r="N435" s="11"/>
    </row>
    <row r="436" spans="5:14">
      <c r="E436" s="11"/>
      <c r="F436" s="11"/>
      <c r="G436" s="11"/>
      <c r="H436" s="11"/>
      <c r="I436" s="11"/>
      <c r="J436" s="11"/>
      <c r="K436" s="11"/>
      <c r="L436" s="11"/>
      <c r="M436" s="11"/>
      <c r="N436" s="11"/>
    </row>
    <row r="437" spans="5:14">
      <c r="E437" s="11"/>
      <c r="F437" s="11"/>
      <c r="G437" s="11"/>
      <c r="H437" s="11"/>
      <c r="I437" s="11"/>
      <c r="J437" s="11"/>
      <c r="K437" s="11"/>
      <c r="L437" s="11"/>
      <c r="M437" s="11"/>
      <c r="N437" s="11"/>
    </row>
    <row r="438" spans="5:14">
      <c r="E438" s="11"/>
      <c r="F438" s="11"/>
      <c r="G438" s="11"/>
      <c r="H438" s="11"/>
      <c r="I438" s="11"/>
      <c r="J438" s="11"/>
      <c r="K438" s="11"/>
      <c r="L438" s="11"/>
      <c r="M438" s="11"/>
      <c r="N438" s="11"/>
    </row>
    <row r="439" spans="5:14">
      <c r="E439" s="11"/>
      <c r="F439" s="11"/>
      <c r="G439" s="11"/>
      <c r="H439" s="11"/>
      <c r="I439" s="11"/>
      <c r="J439" s="11"/>
      <c r="K439" s="11"/>
      <c r="L439" s="11"/>
      <c r="M439" s="11"/>
      <c r="N439" s="11"/>
    </row>
    <row r="440" spans="5:14">
      <c r="E440" s="11"/>
      <c r="F440" s="11"/>
      <c r="G440" s="11"/>
      <c r="H440" s="11"/>
      <c r="I440" s="11"/>
      <c r="J440" s="11"/>
      <c r="K440" s="11"/>
      <c r="L440" s="11"/>
      <c r="M440" s="11"/>
      <c r="N440" s="11"/>
    </row>
    <row r="441" spans="5:14">
      <c r="E441" s="11"/>
      <c r="F441" s="11"/>
      <c r="G441" s="11"/>
      <c r="H441" s="11"/>
      <c r="I441" s="11"/>
      <c r="J441" s="11"/>
      <c r="K441" s="11"/>
      <c r="L441" s="11"/>
      <c r="M441" s="11"/>
      <c r="N441" s="11"/>
    </row>
    <row r="442" spans="5:14">
      <c r="E442" s="11"/>
      <c r="F442" s="11"/>
      <c r="G442" s="11"/>
      <c r="H442" s="11"/>
      <c r="I442" s="11"/>
      <c r="J442" s="11"/>
      <c r="K442" s="11"/>
      <c r="L442" s="11"/>
      <c r="M442" s="11"/>
      <c r="N442" s="11"/>
    </row>
    <row r="443" spans="5:14">
      <c r="E443" s="11"/>
      <c r="F443" s="11"/>
      <c r="G443" s="11"/>
      <c r="H443" s="11"/>
      <c r="I443" s="11"/>
      <c r="J443" s="11"/>
      <c r="K443" s="11"/>
      <c r="L443" s="11"/>
      <c r="M443" s="11"/>
      <c r="N443" s="11"/>
    </row>
    <row r="444" spans="5:14">
      <c r="E444" s="11"/>
      <c r="F444" s="11"/>
      <c r="G444" s="11"/>
      <c r="H444" s="11"/>
      <c r="I444" s="11"/>
      <c r="J444" s="11"/>
      <c r="K444" s="11"/>
      <c r="L444" s="11"/>
      <c r="M444" s="11"/>
      <c r="N444" s="11"/>
    </row>
    <row r="445" spans="5:14">
      <c r="E445" s="11"/>
      <c r="F445" s="11"/>
      <c r="G445" s="11"/>
      <c r="H445" s="11"/>
      <c r="I445" s="11"/>
      <c r="J445" s="11"/>
      <c r="K445" s="11"/>
      <c r="L445" s="11"/>
      <c r="M445" s="11"/>
      <c r="N445" s="11"/>
    </row>
    <row r="446" spans="5:14">
      <c r="E446" s="11"/>
      <c r="F446" s="11"/>
      <c r="G446" s="11"/>
      <c r="H446" s="11"/>
      <c r="I446" s="11"/>
      <c r="J446" s="11"/>
      <c r="K446" s="11"/>
      <c r="L446" s="11"/>
      <c r="M446" s="11"/>
      <c r="N446" s="11"/>
    </row>
    <row r="447" spans="5:14">
      <c r="E447" s="11"/>
      <c r="F447" s="11"/>
      <c r="G447" s="11"/>
      <c r="H447" s="11"/>
      <c r="I447" s="11"/>
      <c r="J447" s="11"/>
      <c r="K447" s="11"/>
      <c r="L447" s="11"/>
      <c r="M447" s="11"/>
      <c r="N447" s="11"/>
    </row>
    <row r="448" spans="5:14">
      <c r="E448" s="11"/>
      <c r="F448" s="11"/>
      <c r="G448" s="11"/>
      <c r="H448" s="11"/>
      <c r="I448" s="11"/>
      <c r="J448" s="11"/>
      <c r="K448" s="11"/>
      <c r="L448" s="11"/>
      <c r="M448" s="11"/>
      <c r="N448" s="11"/>
    </row>
    <row r="449" spans="5:14">
      <c r="E449" s="11"/>
      <c r="F449" s="11"/>
      <c r="G449" s="11"/>
      <c r="H449" s="11"/>
      <c r="I449" s="11"/>
      <c r="J449" s="11"/>
      <c r="K449" s="11"/>
      <c r="L449" s="11"/>
      <c r="M449" s="11"/>
      <c r="N449" s="11"/>
    </row>
    <row r="450" spans="5:14">
      <c r="E450" s="11"/>
      <c r="F450" s="11"/>
      <c r="G450" s="11"/>
      <c r="H450" s="11"/>
      <c r="I450" s="11"/>
      <c r="J450" s="11"/>
      <c r="K450" s="11"/>
      <c r="L450" s="11"/>
      <c r="M450" s="11"/>
      <c r="N450" s="11"/>
    </row>
    <row r="451" spans="5:14">
      <c r="E451" s="11"/>
      <c r="F451" s="11"/>
      <c r="G451" s="11"/>
      <c r="H451" s="11"/>
      <c r="I451" s="11"/>
      <c r="J451" s="11"/>
      <c r="K451" s="11"/>
      <c r="L451" s="11"/>
      <c r="M451" s="11"/>
      <c r="N451" s="11"/>
    </row>
    <row r="452" spans="5:14">
      <c r="E452" s="11"/>
      <c r="F452" s="11"/>
      <c r="G452" s="11"/>
      <c r="H452" s="11"/>
      <c r="I452" s="11"/>
      <c r="J452" s="11"/>
      <c r="K452" s="11"/>
      <c r="L452" s="11"/>
      <c r="M452" s="11"/>
      <c r="N452" s="11"/>
    </row>
    <row r="453" spans="5:14">
      <c r="E453" s="11"/>
      <c r="F453" s="11"/>
      <c r="G453" s="11"/>
      <c r="H453" s="11"/>
      <c r="I453" s="11"/>
      <c r="J453" s="11"/>
      <c r="K453" s="11"/>
      <c r="L453" s="11"/>
      <c r="M453" s="11"/>
      <c r="N453" s="11"/>
    </row>
    <row r="454" spans="5:14">
      <c r="E454" s="11"/>
      <c r="F454" s="11"/>
      <c r="G454" s="11"/>
      <c r="H454" s="11"/>
      <c r="I454" s="11"/>
      <c r="J454" s="11"/>
      <c r="K454" s="11"/>
      <c r="L454" s="11"/>
      <c r="M454" s="11"/>
      <c r="N454" s="11"/>
    </row>
    <row r="455" spans="5:14">
      <c r="E455" s="11"/>
      <c r="F455" s="11"/>
      <c r="G455" s="11"/>
      <c r="H455" s="11"/>
      <c r="I455" s="11"/>
      <c r="J455" s="11"/>
      <c r="K455" s="11"/>
      <c r="L455" s="11"/>
      <c r="M455" s="11"/>
      <c r="N455" s="11"/>
    </row>
    <row r="456" spans="5:14">
      <c r="E456" s="11"/>
      <c r="F456" s="11"/>
      <c r="G456" s="11"/>
      <c r="H456" s="11"/>
      <c r="I456" s="11"/>
      <c r="J456" s="11"/>
      <c r="K456" s="11"/>
      <c r="L456" s="11"/>
      <c r="M456" s="11"/>
      <c r="N456" s="11"/>
    </row>
    <row r="457" spans="5:14">
      <c r="E457" s="11"/>
      <c r="F457" s="11"/>
      <c r="G457" s="11"/>
      <c r="H457" s="11"/>
      <c r="I457" s="11"/>
      <c r="J457" s="11"/>
      <c r="K457" s="11"/>
      <c r="L457" s="11"/>
      <c r="M457" s="11"/>
      <c r="N457" s="11"/>
    </row>
    <row r="458" spans="5:14">
      <c r="E458" s="11"/>
      <c r="F458" s="11"/>
      <c r="G458" s="11"/>
      <c r="H458" s="11"/>
      <c r="I458" s="11"/>
      <c r="J458" s="11"/>
      <c r="K458" s="11"/>
      <c r="L458" s="11"/>
      <c r="M458" s="11"/>
      <c r="N458" s="11"/>
    </row>
    <row r="459" spans="5:14">
      <c r="E459" s="11"/>
      <c r="F459" s="11"/>
      <c r="G459" s="11"/>
      <c r="H459" s="11"/>
      <c r="I459" s="11"/>
      <c r="J459" s="11"/>
      <c r="K459" s="11"/>
      <c r="L459" s="11"/>
      <c r="M459" s="11"/>
      <c r="N459" s="11"/>
    </row>
    <row r="460" spans="5:14">
      <c r="E460" s="11"/>
      <c r="F460" s="11"/>
      <c r="G460" s="11"/>
      <c r="H460" s="11"/>
      <c r="I460" s="11"/>
      <c r="J460" s="11"/>
      <c r="K460" s="11"/>
      <c r="L460" s="11"/>
      <c r="M460" s="11"/>
      <c r="N460" s="11"/>
    </row>
    <row r="461" spans="5:14">
      <c r="E461" s="11"/>
      <c r="F461" s="11"/>
      <c r="G461" s="11"/>
      <c r="H461" s="11"/>
      <c r="I461" s="11"/>
      <c r="J461" s="11"/>
      <c r="K461" s="11"/>
      <c r="L461" s="11"/>
      <c r="M461" s="11"/>
      <c r="N461" s="11"/>
    </row>
    <row r="462" spans="5:14">
      <c r="E462" s="11"/>
      <c r="F462" s="11"/>
      <c r="G462" s="11"/>
      <c r="H462" s="11"/>
      <c r="I462" s="11"/>
      <c r="J462" s="11"/>
      <c r="K462" s="11"/>
      <c r="L462" s="11"/>
      <c r="M462" s="11"/>
      <c r="N462" s="11"/>
    </row>
    <row r="463" spans="5:14">
      <c r="E463" s="11"/>
      <c r="F463" s="11"/>
      <c r="G463" s="11"/>
      <c r="H463" s="11"/>
      <c r="I463" s="11"/>
      <c r="J463" s="11"/>
      <c r="K463" s="11"/>
      <c r="L463" s="11"/>
      <c r="M463" s="11"/>
      <c r="N463" s="11"/>
    </row>
    <row r="464" spans="5:14">
      <c r="E464" s="11"/>
      <c r="F464" s="11"/>
      <c r="G464" s="11"/>
      <c r="H464" s="11"/>
      <c r="I464" s="11"/>
      <c r="J464" s="11"/>
      <c r="K464" s="11"/>
      <c r="L464" s="11"/>
      <c r="M464" s="11"/>
      <c r="N464" s="11"/>
    </row>
    <row r="465" spans="5:14">
      <c r="E465" s="11"/>
      <c r="F465" s="11"/>
      <c r="G465" s="11"/>
      <c r="H465" s="11"/>
      <c r="I465" s="11"/>
      <c r="J465" s="11"/>
      <c r="K465" s="11"/>
      <c r="L465" s="11"/>
      <c r="M465" s="11"/>
      <c r="N465" s="11"/>
    </row>
    <row r="466" spans="5:14">
      <c r="E466" s="11"/>
      <c r="F466" s="11"/>
      <c r="G466" s="11"/>
      <c r="H466" s="11"/>
      <c r="I466" s="11"/>
      <c r="J466" s="11"/>
      <c r="K466" s="11"/>
      <c r="L466" s="11"/>
      <c r="M466" s="11"/>
      <c r="N466" s="11"/>
    </row>
    <row r="467" spans="5:14">
      <c r="E467" s="11"/>
      <c r="F467" s="11"/>
      <c r="G467" s="11"/>
      <c r="H467" s="11"/>
      <c r="I467" s="11"/>
      <c r="J467" s="11"/>
      <c r="K467" s="11"/>
      <c r="L467" s="11"/>
      <c r="M467" s="11"/>
      <c r="N467" s="11"/>
    </row>
    <row r="468" spans="5:14">
      <c r="E468" s="11"/>
      <c r="F468" s="11"/>
      <c r="G468" s="11"/>
      <c r="H468" s="11"/>
      <c r="I468" s="11"/>
      <c r="J468" s="11"/>
      <c r="K468" s="11"/>
      <c r="L468" s="11"/>
      <c r="M468" s="11"/>
      <c r="N468" s="11"/>
    </row>
    <row r="469" spans="5:14">
      <c r="E469" s="11"/>
      <c r="F469" s="11"/>
      <c r="G469" s="11"/>
      <c r="H469" s="11"/>
      <c r="I469" s="11"/>
      <c r="J469" s="11"/>
      <c r="K469" s="11"/>
      <c r="L469" s="11"/>
      <c r="M469" s="11"/>
      <c r="N469" s="11"/>
    </row>
    <row r="470" spans="5:14">
      <c r="E470" s="11"/>
      <c r="F470" s="11"/>
      <c r="G470" s="11"/>
      <c r="H470" s="11"/>
      <c r="I470" s="11"/>
      <c r="J470" s="11"/>
      <c r="K470" s="11"/>
      <c r="L470" s="11"/>
      <c r="M470" s="11"/>
      <c r="N470" s="11"/>
    </row>
    <row r="471" spans="5:14">
      <c r="E471" s="11"/>
      <c r="F471" s="11"/>
      <c r="G471" s="11"/>
      <c r="H471" s="11"/>
      <c r="I471" s="11"/>
      <c r="J471" s="11"/>
      <c r="K471" s="11"/>
      <c r="L471" s="11"/>
      <c r="M471" s="11"/>
      <c r="N471" s="11"/>
    </row>
    <row r="472" spans="5:14">
      <c r="E472" s="11"/>
      <c r="F472" s="11"/>
      <c r="G472" s="11"/>
      <c r="H472" s="11"/>
      <c r="I472" s="11"/>
      <c r="J472" s="11"/>
      <c r="K472" s="11"/>
      <c r="L472" s="11"/>
      <c r="M472" s="11"/>
      <c r="N472" s="11"/>
    </row>
    <row r="473" spans="5:14">
      <c r="E473" s="11"/>
      <c r="F473" s="11"/>
      <c r="G473" s="11"/>
      <c r="H473" s="11"/>
      <c r="I473" s="11"/>
      <c r="J473" s="11"/>
      <c r="K473" s="11"/>
      <c r="L473" s="11"/>
      <c r="M473" s="11"/>
      <c r="N473" s="11"/>
    </row>
    <row r="474" spans="5:14">
      <c r="E474" s="11"/>
      <c r="F474" s="11"/>
      <c r="G474" s="11"/>
      <c r="H474" s="11"/>
      <c r="I474" s="11"/>
      <c r="J474" s="11"/>
      <c r="K474" s="11"/>
      <c r="L474" s="11"/>
      <c r="M474" s="11"/>
      <c r="N474" s="11"/>
    </row>
    <row r="475" spans="5:14">
      <c r="E475" s="11"/>
      <c r="F475" s="11"/>
      <c r="G475" s="11"/>
      <c r="H475" s="11"/>
      <c r="I475" s="11"/>
      <c r="J475" s="11"/>
      <c r="K475" s="11"/>
      <c r="L475" s="11"/>
      <c r="M475" s="11"/>
      <c r="N475" s="11"/>
    </row>
    <row r="476" spans="5:14">
      <c r="E476" s="11"/>
      <c r="F476" s="11"/>
      <c r="G476" s="11"/>
      <c r="H476" s="11"/>
      <c r="I476" s="11"/>
      <c r="J476" s="11"/>
      <c r="K476" s="11"/>
      <c r="L476" s="11"/>
      <c r="M476" s="11"/>
      <c r="N476" s="11"/>
    </row>
    <row r="477" spans="5:14">
      <c r="E477" s="11"/>
      <c r="F477" s="11"/>
      <c r="G477" s="11"/>
      <c r="H477" s="11"/>
      <c r="I477" s="11"/>
      <c r="J477" s="11"/>
      <c r="K477" s="11"/>
      <c r="L477" s="11"/>
      <c r="M477" s="11"/>
      <c r="N477" s="11"/>
    </row>
    <row r="478" spans="5:14">
      <c r="E478" s="11"/>
      <c r="F478" s="11"/>
      <c r="G478" s="11"/>
      <c r="H478" s="11"/>
      <c r="I478" s="11"/>
      <c r="J478" s="11"/>
      <c r="K478" s="11"/>
      <c r="L478" s="11"/>
      <c r="M478" s="11"/>
      <c r="N478" s="11"/>
    </row>
    <row r="479" spans="5:14">
      <c r="E479" s="11"/>
      <c r="F479" s="11"/>
      <c r="G479" s="11"/>
      <c r="H479" s="11"/>
      <c r="I479" s="11"/>
      <c r="J479" s="11"/>
      <c r="K479" s="11"/>
      <c r="L479" s="11"/>
      <c r="M479" s="11"/>
      <c r="N479" s="11"/>
    </row>
    <row r="480" spans="5:14">
      <c r="E480" s="11"/>
      <c r="F480" s="11"/>
      <c r="G480" s="11"/>
      <c r="H480" s="11"/>
      <c r="I480" s="11"/>
      <c r="J480" s="11"/>
      <c r="K480" s="11"/>
      <c r="L480" s="11"/>
      <c r="M480" s="11"/>
      <c r="N480" s="11"/>
    </row>
    <row r="481" spans="5:14">
      <c r="E481" s="11"/>
      <c r="F481" s="11"/>
      <c r="G481" s="11"/>
      <c r="H481" s="11"/>
      <c r="I481" s="11"/>
      <c r="J481" s="11"/>
      <c r="K481" s="11"/>
      <c r="L481" s="11"/>
      <c r="M481" s="11"/>
      <c r="N481" s="11"/>
    </row>
    <row r="482" spans="5:14">
      <c r="E482" s="11"/>
      <c r="F482" s="11"/>
      <c r="G482" s="11"/>
      <c r="H482" s="11"/>
      <c r="I482" s="11"/>
      <c r="J482" s="11"/>
      <c r="K482" s="11"/>
      <c r="L482" s="11"/>
      <c r="M482" s="11"/>
      <c r="N482" s="11"/>
    </row>
    <row r="483" spans="5:14">
      <c r="E483" s="11"/>
      <c r="F483" s="11"/>
      <c r="G483" s="11"/>
      <c r="H483" s="11"/>
      <c r="I483" s="11"/>
      <c r="J483" s="11"/>
      <c r="K483" s="11"/>
      <c r="L483" s="11"/>
      <c r="M483" s="11"/>
      <c r="N483" s="11"/>
    </row>
    <row r="484" spans="5:14">
      <c r="E484" s="11"/>
      <c r="F484" s="11"/>
      <c r="G484" s="11"/>
      <c r="H484" s="11"/>
      <c r="I484" s="11"/>
      <c r="J484" s="11"/>
      <c r="K484" s="11"/>
      <c r="L484" s="11"/>
      <c r="M484" s="11"/>
      <c r="N484" s="11"/>
    </row>
    <row r="485" spans="5:14">
      <c r="E485" s="11"/>
      <c r="F485" s="11"/>
      <c r="G485" s="11"/>
      <c r="H485" s="11"/>
      <c r="I485" s="11"/>
      <c r="J485" s="11"/>
      <c r="K485" s="11"/>
      <c r="L485" s="11"/>
      <c r="M485" s="11"/>
      <c r="N485" s="11"/>
    </row>
    <row r="486" spans="5:14">
      <c r="E486" s="11"/>
      <c r="F486" s="11"/>
      <c r="G486" s="11"/>
      <c r="H486" s="11"/>
      <c r="I486" s="11"/>
      <c r="J486" s="11"/>
      <c r="K486" s="11"/>
      <c r="L486" s="11"/>
      <c r="M486" s="11"/>
      <c r="N486" s="11"/>
    </row>
    <row r="487" spans="5:14">
      <c r="E487" s="11"/>
      <c r="F487" s="11"/>
      <c r="G487" s="11"/>
      <c r="H487" s="11"/>
      <c r="I487" s="11"/>
      <c r="J487" s="11"/>
      <c r="K487" s="11"/>
      <c r="L487" s="11"/>
      <c r="M487" s="11"/>
      <c r="N487" s="11"/>
    </row>
    <row r="488" spans="5:14">
      <c r="E488" s="11"/>
      <c r="F488" s="11"/>
      <c r="G488" s="11"/>
      <c r="H488" s="11"/>
      <c r="I488" s="11"/>
      <c r="J488" s="11"/>
      <c r="K488" s="11"/>
      <c r="L488" s="11"/>
      <c r="M488" s="11"/>
      <c r="N488" s="11"/>
    </row>
    <row r="489" spans="5:14">
      <c r="E489" s="11"/>
      <c r="F489" s="11"/>
      <c r="G489" s="11"/>
      <c r="H489" s="11"/>
      <c r="I489" s="11"/>
      <c r="J489" s="11"/>
      <c r="K489" s="11"/>
      <c r="L489" s="11"/>
      <c r="M489" s="11"/>
      <c r="N489" s="11"/>
    </row>
    <row r="490" spans="5:14">
      <c r="E490" s="11"/>
      <c r="F490" s="11"/>
      <c r="G490" s="11"/>
      <c r="H490" s="11"/>
      <c r="I490" s="11"/>
      <c r="J490" s="11"/>
      <c r="K490" s="11"/>
      <c r="L490" s="11"/>
      <c r="M490" s="11"/>
      <c r="N490" s="11"/>
    </row>
    <row r="491" spans="5:14">
      <c r="E491" s="11"/>
      <c r="F491" s="11"/>
      <c r="G491" s="11"/>
      <c r="H491" s="11"/>
      <c r="I491" s="11"/>
      <c r="J491" s="11"/>
      <c r="K491" s="11"/>
      <c r="L491" s="11"/>
      <c r="M491" s="11"/>
      <c r="N491" s="11"/>
    </row>
    <row r="492" spans="5:14">
      <c r="E492" s="11"/>
      <c r="F492" s="11"/>
      <c r="G492" s="11"/>
      <c r="H492" s="11"/>
      <c r="I492" s="11"/>
      <c r="J492" s="11"/>
      <c r="K492" s="11"/>
      <c r="L492" s="11"/>
      <c r="M492" s="11"/>
      <c r="N492" s="11"/>
    </row>
    <row r="493" spans="5:14">
      <c r="E493" s="11"/>
      <c r="F493" s="11"/>
      <c r="G493" s="11"/>
      <c r="H493" s="11"/>
      <c r="I493" s="11"/>
      <c r="J493" s="11"/>
      <c r="K493" s="11"/>
      <c r="L493" s="11"/>
      <c r="M493" s="11"/>
      <c r="N493" s="11"/>
    </row>
    <row r="494" spans="5:14">
      <c r="E494" s="11"/>
      <c r="F494" s="11"/>
      <c r="G494" s="11"/>
      <c r="H494" s="11"/>
      <c r="I494" s="11"/>
      <c r="J494" s="11"/>
      <c r="K494" s="11"/>
      <c r="L494" s="11"/>
      <c r="M494" s="11"/>
      <c r="N494" s="11"/>
    </row>
    <row r="495" spans="5:14">
      <c r="E495" s="11"/>
      <c r="F495" s="11"/>
      <c r="G495" s="11"/>
      <c r="H495" s="11"/>
      <c r="I495" s="11"/>
      <c r="J495" s="11"/>
      <c r="K495" s="11"/>
      <c r="L495" s="11"/>
      <c r="M495" s="11"/>
      <c r="N495" s="11"/>
    </row>
    <row r="496" spans="5:14">
      <c r="E496" s="11"/>
      <c r="F496" s="11"/>
      <c r="G496" s="11"/>
      <c r="H496" s="11"/>
      <c r="I496" s="11"/>
      <c r="J496" s="11"/>
      <c r="K496" s="11"/>
      <c r="L496" s="11"/>
      <c r="M496" s="11"/>
      <c r="N496" s="11"/>
    </row>
    <row r="497" spans="5:14">
      <c r="E497" s="11"/>
      <c r="F497" s="11"/>
      <c r="G497" s="11"/>
      <c r="H497" s="11"/>
      <c r="I497" s="11"/>
      <c r="J497" s="11"/>
      <c r="K497" s="11"/>
      <c r="L497" s="11"/>
      <c r="M497" s="11"/>
      <c r="N497" s="11"/>
    </row>
    <row r="498" spans="5:14">
      <c r="E498" s="11"/>
      <c r="F498" s="11"/>
      <c r="G498" s="11"/>
      <c r="H498" s="11"/>
      <c r="I498" s="11"/>
      <c r="J498" s="11"/>
      <c r="K498" s="11"/>
      <c r="L498" s="11"/>
      <c r="M498" s="11"/>
      <c r="N498" s="11"/>
    </row>
    <row r="499" spans="5:14">
      <c r="E499" s="11"/>
      <c r="F499" s="11"/>
      <c r="G499" s="11"/>
      <c r="H499" s="11"/>
      <c r="I499" s="11"/>
      <c r="J499" s="11"/>
      <c r="K499" s="11"/>
      <c r="L499" s="11"/>
      <c r="M499" s="11"/>
      <c r="N499" s="11"/>
    </row>
    <row r="500" spans="5:14">
      <c r="E500" s="11"/>
      <c r="F500" s="11"/>
      <c r="G500" s="11"/>
      <c r="H500" s="11"/>
      <c r="I500" s="11"/>
      <c r="J500" s="11"/>
      <c r="K500" s="11"/>
      <c r="L500" s="11"/>
      <c r="M500" s="11"/>
      <c r="N500" s="1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400"/>
  <sheetViews>
    <sheetView workbookViewId="0"/>
  </sheetViews>
  <sheetFormatPr defaultRowHeight="14.25"/>
  <cols>
    <col min="1" max="1" width="12" customWidth="1"/>
    <col min="2" max="2" width="18" customWidth="1"/>
    <col min="3" max="3" width="20" customWidth="1"/>
    <col min="4" max="4" width="28" customWidth="1"/>
    <col min="5" max="5" width="45" customWidth="1"/>
    <col min="6" max="6" width="16" customWidth="1"/>
    <col min="7" max="7" width="14" customWidth="1"/>
    <col min="8" max="8" width="20" customWidth="1"/>
    <col min="9" max="9" width="14" customWidth="1"/>
    <col min="10" max="10" width="28" customWidth="1"/>
  </cols>
  <sheetData>
    <row r="1" spans="1:52" ht="30">
      <c r="A1" s="1" t="s">
        <v>92</v>
      </c>
      <c r="B1" s="1" t="s">
        <v>70</v>
      </c>
      <c r="C1" s="1" t="s">
        <v>1841</v>
      </c>
      <c r="D1" s="1" t="s">
        <v>1842</v>
      </c>
      <c r="E1" s="1" t="s">
        <v>1843</v>
      </c>
      <c r="F1" s="1" t="s">
        <v>1844</v>
      </c>
      <c r="G1" s="1" t="s">
        <v>1845</v>
      </c>
      <c r="H1" s="1" t="s">
        <v>1846</v>
      </c>
      <c r="I1" s="1" t="s">
        <v>1847</v>
      </c>
      <c r="J1" s="1" t="s">
        <v>94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28.5">
      <c r="A2" s="2" t="s">
        <v>111</v>
      </c>
      <c r="B2" s="2" t="s">
        <v>97</v>
      </c>
      <c r="C2" s="2" t="s">
        <v>1848</v>
      </c>
      <c r="D2" s="2" t="s">
        <v>1849</v>
      </c>
      <c r="E2" s="2" t="s">
        <v>1850</v>
      </c>
      <c r="F2" s="2" t="s">
        <v>1851</v>
      </c>
      <c r="G2" s="6">
        <v>46213</v>
      </c>
      <c r="H2" s="2" t="s">
        <v>1852</v>
      </c>
      <c r="I2" s="2" t="s">
        <v>110</v>
      </c>
      <c r="J2" s="2" t="s">
        <v>1853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28.5">
      <c r="A3" s="2" t="s">
        <v>787</v>
      </c>
      <c r="B3" s="2" t="s">
        <v>97</v>
      </c>
      <c r="C3" s="2" t="s">
        <v>1848</v>
      </c>
      <c r="D3" s="2" t="s">
        <v>1854</v>
      </c>
      <c r="E3" s="2" t="s">
        <v>1850</v>
      </c>
      <c r="F3" s="2" t="s">
        <v>1851</v>
      </c>
      <c r="G3" s="6">
        <v>46213</v>
      </c>
      <c r="H3" s="2" t="s">
        <v>1852</v>
      </c>
      <c r="I3" s="2" t="s">
        <v>110</v>
      </c>
      <c r="J3" s="2" t="s">
        <v>1853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28.5">
      <c r="A4" s="2" t="s">
        <v>255</v>
      </c>
      <c r="B4" s="2" t="s">
        <v>97</v>
      </c>
      <c r="C4" s="2" t="s">
        <v>1848</v>
      </c>
      <c r="D4" s="2" t="s">
        <v>1855</v>
      </c>
      <c r="E4" s="2" t="s">
        <v>1850</v>
      </c>
      <c r="F4" s="2" t="s">
        <v>1851</v>
      </c>
      <c r="G4" s="6">
        <v>46213</v>
      </c>
      <c r="H4" s="2" t="s">
        <v>1852</v>
      </c>
      <c r="I4" s="2" t="s">
        <v>110</v>
      </c>
      <c r="J4" s="2" t="s">
        <v>1853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28.5">
      <c r="A5" s="2" t="s">
        <v>1856</v>
      </c>
      <c r="B5" s="2" t="s">
        <v>331</v>
      </c>
      <c r="C5" s="2" t="s">
        <v>1857</v>
      </c>
      <c r="D5" s="2" t="s">
        <v>1858</v>
      </c>
      <c r="E5" s="2" t="s">
        <v>1859</v>
      </c>
      <c r="F5" s="2" t="s">
        <v>1860</v>
      </c>
      <c r="G5" s="6">
        <v>46213</v>
      </c>
      <c r="H5" s="2" t="s">
        <v>1861</v>
      </c>
      <c r="I5" s="2" t="s">
        <v>110</v>
      </c>
      <c r="J5" s="2" t="s">
        <v>1862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28.5">
      <c r="A6" s="2" t="s">
        <v>1863</v>
      </c>
      <c r="B6" s="2" t="s">
        <v>331</v>
      </c>
      <c r="C6" s="2" t="s">
        <v>1857</v>
      </c>
      <c r="D6" s="2" t="s">
        <v>1864</v>
      </c>
      <c r="E6" s="2" t="s">
        <v>1865</v>
      </c>
      <c r="F6" s="2" t="s">
        <v>1860</v>
      </c>
      <c r="G6" s="6">
        <v>46213</v>
      </c>
      <c r="H6" s="2" t="s">
        <v>1861</v>
      </c>
      <c r="I6" s="2" t="s">
        <v>110</v>
      </c>
      <c r="J6" s="2" t="s">
        <v>1866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28.5">
      <c r="A7" s="2" t="s">
        <v>1867</v>
      </c>
      <c r="B7" s="2" t="s">
        <v>512</v>
      </c>
      <c r="C7" s="2" t="s">
        <v>1868</v>
      </c>
      <c r="D7" s="2" t="s">
        <v>514</v>
      </c>
      <c r="E7" s="2" t="s">
        <v>1869</v>
      </c>
      <c r="F7" s="2" t="s">
        <v>1860</v>
      </c>
      <c r="G7" s="6">
        <v>46213</v>
      </c>
      <c r="H7" s="2" t="s">
        <v>1870</v>
      </c>
      <c r="I7" s="2" t="s">
        <v>110</v>
      </c>
      <c r="J7" s="2" t="s">
        <v>1871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42.75">
      <c r="A8" s="2" t="s">
        <v>1872</v>
      </c>
      <c r="B8" s="2" t="s">
        <v>564</v>
      </c>
      <c r="C8" s="2" t="s">
        <v>1857</v>
      </c>
      <c r="D8" s="2" t="s">
        <v>565</v>
      </c>
      <c r="E8" s="2" t="s">
        <v>1873</v>
      </c>
      <c r="F8" s="2" t="s">
        <v>1860</v>
      </c>
      <c r="G8" s="6">
        <v>46213</v>
      </c>
      <c r="H8" s="2" t="s">
        <v>1861</v>
      </c>
      <c r="I8" s="2" t="s">
        <v>110</v>
      </c>
      <c r="J8" s="2" t="s">
        <v>1874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42.75">
      <c r="A9" s="2" t="s">
        <v>1875</v>
      </c>
      <c r="B9" s="2" t="s">
        <v>564</v>
      </c>
      <c r="C9" s="2" t="s">
        <v>1857</v>
      </c>
      <c r="D9" s="2" t="s">
        <v>1876</v>
      </c>
      <c r="E9" s="2" t="s">
        <v>1877</v>
      </c>
      <c r="F9" s="2" t="s">
        <v>1860</v>
      </c>
      <c r="G9" s="6">
        <v>46213</v>
      </c>
      <c r="H9" s="2" t="s">
        <v>1861</v>
      </c>
      <c r="I9" s="2" t="s">
        <v>110</v>
      </c>
      <c r="J9" s="2" t="s">
        <v>1878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28.5">
      <c r="A10" s="2" t="s">
        <v>1879</v>
      </c>
      <c r="B10" s="2" t="s">
        <v>1355</v>
      </c>
      <c r="C10" s="2" t="s">
        <v>1848</v>
      </c>
      <c r="D10" s="2" t="s">
        <v>1880</v>
      </c>
      <c r="E10" s="2" t="s">
        <v>1850</v>
      </c>
      <c r="F10" s="2" t="s">
        <v>1881</v>
      </c>
      <c r="G10" s="6">
        <v>46213</v>
      </c>
      <c r="H10" s="2" t="s">
        <v>1882</v>
      </c>
      <c r="I10" s="2" t="s">
        <v>110</v>
      </c>
      <c r="J10" s="2" t="s">
        <v>1883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28.5">
      <c r="A11" s="2" t="s">
        <v>1884</v>
      </c>
      <c r="B11" s="2" t="s">
        <v>97</v>
      </c>
      <c r="C11" s="2" t="s">
        <v>1848</v>
      </c>
      <c r="D11" s="2" t="s">
        <v>1885</v>
      </c>
      <c r="E11" s="2" t="s">
        <v>1850</v>
      </c>
      <c r="F11" s="2" t="s">
        <v>1851</v>
      </c>
      <c r="G11" s="6"/>
      <c r="H11" s="2" t="s">
        <v>1852</v>
      </c>
      <c r="I11" s="2" t="s">
        <v>110</v>
      </c>
      <c r="J11" s="2" t="s">
        <v>1886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28.5">
      <c r="A12" s="2" t="s">
        <v>338</v>
      </c>
      <c r="B12" s="2" t="s">
        <v>331</v>
      </c>
      <c r="C12" s="2" t="s">
        <v>1887</v>
      </c>
      <c r="D12" s="2" t="s">
        <v>1888</v>
      </c>
      <c r="E12" s="2" t="s">
        <v>1850</v>
      </c>
      <c r="F12" s="2" t="s">
        <v>1860</v>
      </c>
      <c r="G12" s="6"/>
      <c r="H12" s="2" t="s">
        <v>1852</v>
      </c>
      <c r="I12" s="2" t="s">
        <v>110</v>
      </c>
      <c r="J12" s="2" t="s">
        <v>1889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28.5">
      <c r="A13" s="2" t="s">
        <v>347</v>
      </c>
      <c r="B13" s="2" t="s">
        <v>331</v>
      </c>
      <c r="C13" s="2" t="s">
        <v>1887</v>
      </c>
      <c r="D13" s="2" t="s">
        <v>1890</v>
      </c>
      <c r="E13" s="2" t="s">
        <v>1850</v>
      </c>
      <c r="F13" s="2" t="s">
        <v>1860</v>
      </c>
      <c r="G13" s="6"/>
      <c r="H13" s="2" t="s">
        <v>1852</v>
      </c>
      <c r="I13" s="2" t="s">
        <v>110</v>
      </c>
      <c r="J13" s="2" t="s">
        <v>1889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28.5">
      <c r="A14" s="2" t="s">
        <v>1891</v>
      </c>
      <c r="B14" s="2" t="s">
        <v>331</v>
      </c>
      <c r="C14" s="2" t="s">
        <v>1887</v>
      </c>
      <c r="D14" s="2" t="s">
        <v>1892</v>
      </c>
      <c r="E14" s="2" t="s">
        <v>1850</v>
      </c>
      <c r="F14" s="2" t="s">
        <v>1860</v>
      </c>
      <c r="G14" s="6"/>
      <c r="H14" s="2" t="s">
        <v>1852</v>
      </c>
      <c r="I14" s="2" t="s">
        <v>110</v>
      </c>
      <c r="J14" s="2" t="s">
        <v>1893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28.5">
      <c r="A15" s="2" t="s">
        <v>361</v>
      </c>
      <c r="B15" s="2" t="s">
        <v>331</v>
      </c>
      <c r="C15" s="2" t="s">
        <v>1887</v>
      </c>
      <c r="D15" s="2" t="s">
        <v>1894</v>
      </c>
      <c r="E15" s="2" t="s">
        <v>1895</v>
      </c>
      <c r="F15" s="2" t="s">
        <v>1860</v>
      </c>
      <c r="G15" s="6"/>
      <c r="H15" s="2" t="s">
        <v>1896</v>
      </c>
      <c r="I15" s="2" t="s">
        <v>110</v>
      </c>
      <c r="J15" s="2" t="s">
        <v>1897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42.75">
      <c r="A16" s="2" t="s">
        <v>1898</v>
      </c>
      <c r="B16" s="2" t="s">
        <v>331</v>
      </c>
      <c r="C16" s="2" t="s">
        <v>1887</v>
      </c>
      <c r="D16" s="2" t="s">
        <v>1899</v>
      </c>
      <c r="E16" s="2" t="s">
        <v>1900</v>
      </c>
      <c r="F16" s="2" t="s">
        <v>1901</v>
      </c>
      <c r="G16" s="6"/>
      <c r="H16" s="2" t="s">
        <v>1902</v>
      </c>
      <c r="I16" s="2" t="s">
        <v>1903</v>
      </c>
      <c r="J16" s="2" t="s">
        <v>1904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42.75">
      <c r="A17" s="2" t="s">
        <v>1905</v>
      </c>
      <c r="B17" s="2" t="s">
        <v>331</v>
      </c>
      <c r="C17" s="2" t="s">
        <v>1887</v>
      </c>
      <c r="D17" s="2" t="s">
        <v>1906</v>
      </c>
      <c r="E17" s="2" t="s">
        <v>1907</v>
      </c>
      <c r="F17" s="2" t="s">
        <v>1860</v>
      </c>
      <c r="G17" s="6"/>
      <c r="H17" s="2" t="s">
        <v>1896</v>
      </c>
      <c r="I17" s="2" t="s">
        <v>110</v>
      </c>
      <c r="J17" s="2" t="s">
        <v>1908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57">
      <c r="A18" s="2" t="s">
        <v>377</v>
      </c>
      <c r="B18" s="2" t="s">
        <v>1909</v>
      </c>
      <c r="C18" s="2" t="s">
        <v>1848</v>
      </c>
      <c r="D18" s="2" t="s">
        <v>1910</v>
      </c>
      <c r="E18" s="2" t="s">
        <v>1911</v>
      </c>
      <c r="F18" s="2" t="s">
        <v>1881</v>
      </c>
      <c r="G18" s="6"/>
      <c r="H18" s="2" t="s">
        <v>1912</v>
      </c>
      <c r="I18" s="2" t="s">
        <v>110</v>
      </c>
      <c r="J18" s="2" t="s">
        <v>1913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42.75">
      <c r="A19" s="2" t="s">
        <v>1914</v>
      </c>
      <c r="B19" s="2" t="s">
        <v>1915</v>
      </c>
      <c r="C19" s="2" t="s">
        <v>1848</v>
      </c>
      <c r="D19" s="2" t="s">
        <v>1916</v>
      </c>
      <c r="E19" s="2" t="s">
        <v>1917</v>
      </c>
      <c r="F19" s="2" t="s">
        <v>1918</v>
      </c>
      <c r="G19" s="6"/>
      <c r="H19" s="2" t="s">
        <v>1852</v>
      </c>
      <c r="I19" s="2" t="s">
        <v>110</v>
      </c>
      <c r="J19" s="2" t="s">
        <v>1919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57">
      <c r="A20" s="2" t="s">
        <v>443</v>
      </c>
      <c r="B20" s="2" t="s">
        <v>436</v>
      </c>
      <c r="C20" s="2" t="s">
        <v>1848</v>
      </c>
      <c r="D20" s="2" t="s">
        <v>1920</v>
      </c>
      <c r="E20" s="2" t="s">
        <v>1921</v>
      </c>
      <c r="F20" s="2" t="s">
        <v>1922</v>
      </c>
      <c r="G20" s="6"/>
      <c r="H20" s="2" t="s">
        <v>1923</v>
      </c>
      <c r="I20" s="2" t="s">
        <v>110</v>
      </c>
      <c r="J20" s="2" t="s">
        <v>1924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57">
      <c r="A21" s="2" t="s">
        <v>1166</v>
      </c>
      <c r="B21" s="2" t="s">
        <v>1925</v>
      </c>
      <c r="C21" s="2" t="s">
        <v>1848</v>
      </c>
      <c r="D21" s="2" t="s">
        <v>1926</v>
      </c>
      <c r="E21" s="2" t="s">
        <v>1927</v>
      </c>
      <c r="F21" s="2" t="s">
        <v>1928</v>
      </c>
      <c r="G21" s="6"/>
      <c r="H21" s="2" t="s">
        <v>1929</v>
      </c>
      <c r="I21" s="2" t="s">
        <v>110</v>
      </c>
      <c r="J21" s="2" t="s">
        <v>1930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85.5">
      <c r="A22" s="2" t="s">
        <v>519</v>
      </c>
      <c r="B22" s="2" t="s">
        <v>512</v>
      </c>
      <c r="C22" s="2" t="s">
        <v>1887</v>
      </c>
      <c r="D22" s="2" t="s">
        <v>1931</v>
      </c>
      <c r="E22" s="2" t="s">
        <v>1932</v>
      </c>
      <c r="F22" s="2" t="s">
        <v>1860</v>
      </c>
      <c r="G22" s="6" t="s">
        <v>51</v>
      </c>
      <c r="H22" s="2" t="s">
        <v>1933</v>
      </c>
      <c r="I22" s="2" t="s">
        <v>110</v>
      </c>
      <c r="J22" s="2" t="s">
        <v>1934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42.75">
      <c r="A23" s="2" t="s">
        <v>571</v>
      </c>
      <c r="B23" s="2" t="s">
        <v>564</v>
      </c>
      <c r="C23" s="2" t="s">
        <v>1857</v>
      </c>
      <c r="D23" s="2" t="s">
        <v>1935</v>
      </c>
      <c r="E23" s="2" t="s">
        <v>1873</v>
      </c>
      <c r="F23" s="2" t="s">
        <v>1860</v>
      </c>
      <c r="G23" s="6" t="s">
        <v>51</v>
      </c>
      <c r="H23" s="2" t="s">
        <v>1936</v>
      </c>
      <c r="I23" s="2" t="s">
        <v>110</v>
      </c>
      <c r="J23" s="2" t="s">
        <v>1937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57">
      <c r="A24" s="2" t="s">
        <v>1938</v>
      </c>
      <c r="B24" s="2" t="s">
        <v>564</v>
      </c>
      <c r="C24" s="2" t="s">
        <v>1857</v>
      </c>
      <c r="D24" s="2" t="s">
        <v>1939</v>
      </c>
      <c r="E24" s="2" t="s">
        <v>1940</v>
      </c>
      <c r="F24" s="2" t="s">
        <v>1860</v>
      </c>
      <c r="G24" s="6" t="s">
        <v>51</v>
      </c>
      <c r="H24" s="2" t="s">
        <v>1941</v>
      </c>
      <c r="I24" s="2" t="s">
        <v>110</v>
      </c>
      <c r="J24" s="2" t="s">
        <v>1942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42.75">
      <c r="A25" s="2" t="s">
        <v>1295</v>
      </c>
      <c r="B25" s="2" t="s">
        <v>331</v>
      </c>
      <c r="C25" s="2" t="s">
        <v>1887</v>
      </c>
      <c r="D25" s="2" t="s">
        <v>1943</v>
      </c>
      <c r="E25" s="2" t="s">
        <v>1944</v>
      </c>
      <c r="F25" s="2" t="s">
        <v>1945</v>
      </c>
      <c r="G25" s="6" t="s">
        <v>51</v>
      </c>
      <c r="H25" s="2" t="s">
        <v>1946</v>
      </c>
      <c r="I25" s="2" t="s">
        <v>110</v>
      </c>
      <c r="J25" s="2" t="s">
        <v>1947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42.75">
      <c r="A26" s="2" t="s">
        <v>1332</v>
      </c>
      <c r="B26" s="2" t="s">
        <v>331</v>
      </c>
      <c r="C26" s="2" t="s">
        <v>1887</v>
      </c>
      <c r="D26" s="2" t="s">
        <v>1948</v>
      </c>
      <c r="E26" s="2" t="s">
        <v>1949</v>
      </c>
      <c r="F26" s="2" t="s">
        <v>1945</v>
      </c>
      <c r="G26" s="6" t="s">
        <v>51</v>
      </c>
      <c r="H26" s="2" t="s">
        <v>1946</v>
      </c>
      <c r="I26" s="2" t="s">
        <v>110</v>
      </c>
      <c r="J26" s="2" t="s">
        <v>1950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42.75">
      <c r="A27" s="2" t="s">
        <v>1403</v>
      </c>
      <c r="B27" s="2" t="s">
        <v>1397</v>
      </c>
      <c r="C27" s="2" t="s">
        <v>1951</v>
      </c>
      <c r="D27" s="2" t="s">
        <v>1952</v>
      </c>
      <c r="E27" s="2" t="s">
        <v>1953</v>
      </c>
      <c r="F27" s="2" t="s">
        <v>1860</v>
      </c>
      <c r="G27" s="6" t="s">
        <v>51</v>
      </c>
      <c r="H27" s="2" t="s">
        <v>1954</v>
      </c>
      <c r="I27" s="2" t="s">
        <v>110</v>
      </c>
      <c r="J27" s="2" t="s">
        <v>1955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42.75">
      <c r="A28" s="2" t="s">
        <v>1489</v>
      </c>
      <c r="B28" s="2" t="s">
        <v>1397</v>
      </c>
      <c r="C28" s="2" t="s">
        <v>1956</v>
      </c>
      <c r="D28" s="2" t="s">
        <v>1486</v>
      </c>
      <c r="E28" s="2" t="s">
        <v>1957</v>
      </c>
      <c r="F28" s="2" t="s">
        <v>1860</v>
      </c>
      <c r="G28" s="6" t="s">
        <v>51</v>
      </c>
      <c r="H28" s="2" t="s">
        <v>1958</v>
      </c>
      <c r="I28" s="2" t="s">
        <v>110</v>
      </c>
      <c r="J28" s="2" t="s">
        <v>1959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42.75">
      <c r="A29" s="2" t="s">
        <v>1495</v>
      </c>
      <c r="B29" s="2" t="s">
        <v>1397</v>
      </c>
      <c r="C29" s="2" t="s">
        <v>1956</v>
      </c>
      <c r="D29" s="2" t="s">
        <v>1492</v>
      </c>
      <c r="E29" s="2" t="s">
        <v>1960</v>
      </c>
      <c r="F29" s="2" t="s">
        <v>1860</v>
      </c>
      <c r="G29" s="6" t="s">
        <v>51</v>
      </c>
      <c r="H29" s="2" t="s">
        <v>1961</v>
      </c>
      <c r="I29" s="2" t="s">
        <v>110</v>
      </c>
      <c r="J29" s="2" t="s">
        <v>1962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42.75">
      <c r="A30" s="2" t="s">
        <v>1501</v>
      </c>
      <c r="B30" s="2" t="s">
        <v>1397</v>
      </c>
      <c r="C30" s="2" t="s">
        <v>1956</v>
      </c>
      <c r="D30" s="2" t="s">
        <v>1498</v>
      </c>
      <c r="E30" s="2" t="s">
        <v>1963</v>
      </c>
      <c r="F30" s="2" t="s">
        <v>1860</v>
      </c>
      <c r="G30" s="6" t="s">
        <v>51</v>
      </c>
      <c r="H30" s="2" t="s">
        <v>1964</v>
      </c>
      <c r="I30" s="2" t="s">
        <v>110</v>
      </c>
      <c r="J30" s="2" t="s">
        <v>1965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42.75">
      <c r="A31" s="2" t="s">
        <v>1507</v>
      </c>
      <c r="B31" s="2" t="s">
        <v>1397</v>
      </c>
      <c r="C31" s="2" t="s">
        <v>1956</v>
      </c>
      <c r="D31" s="2" t="s">
        <v>1504</v>
      </c>
      <c r="E31" s="2" t="s">
        <v>1966</v>
      </c>
      <c r="F31" s="2" t="s">
        <v>1860</v>
      </c>
      <c r="G31" s="6" t="s">
        <v>51</v>
      </c>
      <c r="H31" s="2" t="s">
        <v>1967</v>
      </c>
      <c r="I31" s="2" t="s">
        <v>110</v>
      </c>
      <c r="J31" s="2" t="s">
        <v>1968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42.75">
      <c r="A32" s="2" t="s">
        <v>1513</v>
      </c>
      <c r="B32" s="2" t="s">
        <v>1397</v>
      </c>
      <c r="C32" s="2" t="s">
        <v>1956</v>
      </c>
      <c r="D32" s="2" t="s">
        <v>1510</v>
      </c>
      <c r="E32" s="2" t="s">
        <v>1969</v>
      </c>
      <c r="F32" s="2" t="s">
        <v>1860</v>
      </c>
      <c r="G32" s="6" t="s">
        <v>51</v>
      </c>
      <c r="H32" s="2" t="s">
        <v>1970</v>
      </c>
      <c r="I32" s="2" t="s">
        <v>110</v>
      </c>
      <c r="J32" s="2" t="s">
        <v>1971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42.75">
      <c r="A33" s="2" t="s">
        <v>1519</v>
      </c>
      <c r="B33" s="2" t="s">
        <v>1397</v>
      </c>
      <c r="C33" s="2" t="s">
        <v>1956</v>
      </c>
      <c r="D33" s="2" t="s">
        <v>1516</v>
      </c>
      <c r="E33" s="2" t="s">
        <v>1972</v>
      </c>
      <c r="F33" s="2" t="s">
        <v>1860</v>
      </c>
      <c r="G33" s="6" t="s">
        <v>51</v>
      </c>
      <c r="H33" s="2" t="s">
        <v>1973</v>
      </c>
      <c r="I33" s="2" t="s">
        <v>110</v>
      </c>
      <c r="J33" s="2" t="s">
        <v>1974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42.75">
      <c r="A34" s="2" t="s">
        <v>1525</v>
      </c>
      <c r="B34" s="2" t="s">
        <v>1397</v>
      </c>
      <c r="C34" s="2" t="s">
        <v>1956</v>
      </c>
      <c r="D34" s="2" t="s">
        <v>1522</v>
      </c>
      <c r="E34" s="2" t="s">
        <v>1975</v>
      </c>
      <c r="F34" s="2" t="s">
        <v>1860</v>
      </c>
      <c r="G34" s="6" t="s">
        <v>51</v>
      </c>
      <c r="H34" s="2" t="s">
        <v>1976</v>
      </c>
      <c r="I34" s="2" t="s">
        <v>110</v>
      </c>
      <c r="J34" s="2" t="s">
        <v>1977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42.75">
      <c r="A35" s="2" t="s">
        <v>1531</v>
      </c>
      <c r="B35" s="2" t="s">
        <v>1397</v>
      </c>
      <c r="C35" s="2" t="s">
        <v>1956</v>
      </c>
      <c r="D35" s="2" t="s">
        <v>1528</v>
      </c>
      <c r="E35" s="2" t="s">
        <v>1978</v>
      </c>
      <c r="F35" s="2" t="s">
        <v>1860</v>
      </c>
      <c r="G35" s="6" t="s">
        <v>51</v>
      </c>
      <c r="H35" s="2" t="s">
        <v>1979</v>
      </c>
      <c r="I35" s="2" t="s">
        <v>110</v>
      </c>
      <c r="J35" s="2" t="s">
        <v>1980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42.75">
      <c r="A36" s="2" t="s">
        <v>1363</v>
      </c>
      <c r="B36" s="2" t="s">
        <v>1355</v>
      </c>
      <c r="C36" s="2" t="s">
        <v>1981</v>
      </c>
      <c r="D36" s="2" t="s">
        <v>1982</v>
      </c>
      <c r="E36" s="2" t="s">
        <v>1983</v>
      </c>
      <c r="F36" s="2" t="s">
        <v>1860</v>
      </c>
      <c r="G36" s="6" t="s">
        <v>51</v>
      </c>
      <c r="H36" s="2" t="s">
        <v>1358</v>
      </c>
      <c r="I36" s="2" t="s">
        <v>110</v>
      </c>
      <c r="J36" s="2" t="s">
        <v>1984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28.5">
      <c r="A37" s="2" t="s">
        <v>1370</v>
      </c>
      <c r="B37" s="2" t="s">
        <v>1355</v>
      </c>
      <c r="C37" s="2" t="s">
        <v>1981</v>
      </c>
      <c r="D37" s="2" t="s">
        <v>1985</v>
      </c>
      <c r="E37" s="2" t="s">
        <v>1986</v>
      </c>
      <c r="F37" s="2" t="s">
        <v>1860</v>
      </c>
      <c r="G37" s="6" t="s">
        <v>51</v>
      </c>
      <c r="H37" s="2" t="s">
        <v>1367</v>
      </c>
      <c r="I37" s="2" t="s">
        <v>110</v>
      </c>
      <c r="J37" s="2" t="s">
        <v>1987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42.75">
      <c r="A38" s="2" t="s">
        <v>1376</v>
      </c>
      <c r="B38" s="2" t="s">
        <v>1355</v>
      </c>
      <c r="C38" s="2" t="s">
        <v>1981</v>
      </c>
      <c r="D38" s="2" t="s">
        <v>1988</v>
      </c>
      <c r="E38" s="2" t="s">
        <v>1989</v>
      </c>
      <c r="F38" s="2" t="s">
        <v>1860</v>
      </c>
      <c r="G38" s="6" t="s">
        <v>51</v>
      </c>
      <c r="H38" s="2" t="s">
        <v>1990</v>
      </c>
      <c r="I38" s="2" t="s">
        <v>110</v>
      </c>
      <c r="J38" s="2" t="s">
        <v>1991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28.5">
      <c r="A39" s="2" t="s">
        <v>1388</v>
      </c>
      <c r="B39" s="2" t="s">
        <v>1355</v>
      </c>
      <c r="C39" s="2" t="s">
        <v>1981</v>
      </c>
      <c r="D39" s="2" t="s">
        <v>1992</v>
      </c>
      <c r="E39" s="2" t="s">
        <v>1993</v>
      </c>
      <c r="F39" s="2" t="s">
        <v>1860</v>
      </c>
      <c r="G39" s="6" t="s">
        <v>51</v>
      </c>
      <c r="H39" s="2" t="s">
        <v>1994</v>
      </c>
      <c r="I39" s="2" t="s">
        <v>110</v>
      </c>
      <c r="J39" s="2" t="s">
        <v>1995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42.75">
      <c r="A40" s="2" t="s">
        <v>1394</v>
      </c>
      <c r="B40" s="2" t="s">
        <v>1355</v>
      </c>
      <c r="C40" s="2" t="s">
        <v>1981</v>
      </c>
      <c r="D40" s="2" t="s">
        <v>1996</v>
      </c>
      <c r="E40" s="2" t="s">
        <v>1997</v>
      </c>
      <c r="F40" s="2" t="s">
        <v>1860</v>
      </c>
      <c r="G40" s="6" t="s">
        <v>51</v>
      </c>
      <c r="H40" s="2" t="s">
        <v>1998</v>
      </c>
      <c r="I40" s="2" t="s">
        <v>110</v>
      </c>
      <c r="J40" s="2" t="s">
        <v>1999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/>
      <c r="B41" s="2"/>
      <c r="C41" s="2"/>
      <c r="D41" s="2"/>
      <c r="E41" s="2"/>
      <c r="F41" s="2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/>
      <c r="B42" s="2"/>
      <c r="C42" s="2"/>
      <c r="D42" s="2"/>
      <c r="E42" s="2"/>
      <c r="F42" s="2"/>
      <c r="G42" s="6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/>
      <c r="B43" s="2"/>
      <c r="C43" s="2"/>
      <c r="D43" s="2"/>
      <c r="E43" s="2"/>
      <c r="F43" s="2"/>
      <c r="G43" s="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/>
      <c r="B44" s="2"/>
      <c r="C44" s="2"/>
      <c r="D44" s="2"/>
      <c r="E44" s="2"/>
      <c r="F44" s="2"/>
      <c r="G44" s="6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/>
      <c r="B45" s="2"/>
      <c r="C45" s="2"/>
      <c r="D45" s="2"/>
      <c r="E45" s="2"/>
      <c r="F45" s="2"/>
      <c r="G45" s="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/>
      <c r="B46" s="2"/>
      <c r="C46" s="2"/>
      <c r="D46" s="2"/>
      <c r="E46" s="2"/>
      <c r="F46" s="2"/>
      <c r="G46" s="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6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6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6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/>
      <c r="B51" s="2"/>
      <c r="C51" s="2"/>
      <c r="D51" s="2"/>
      <c r="E51" s="2"/>
      <c r="F51" s="2"/>
      <c r="G51" s="6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/>
      <c r="B52" s="2"/>
      <c r="C52" s="2"/>
      <c r="D52" s="2"/>
      <c r="E52" s="2"/>
      <c r="F52" s="2"/>
      <c r="G52" s="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/>
      <c r="B53" s="2"/>
      <c r="C53" s="2"/>
      <c r="D53" s="2"/>
      <c r="E53" s="2"/>
      <c r="F53" s="2"/>
      <c r="G53" s="6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/>
      <c r="B54" s="2"/>
      <c r="C54" s="2"/>
      <c r="D54" s="2"/>
      <c r="E54" s="2"/>
      <c r="F54" s="2"/>
      <c r="G54" s="6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/>
      <c r="B55" s="2"/>
      <c r="C55" s="2"/>
      <c r="D55" s="2"/>
      <c r="E55" s="2"/>
      <c r="F55" s="2"/>
      <c r="G55" s="6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/>
      <c r="B56" s="2"/>
      <c r="C56" s="2"/>
      <c r="D56" s="2"/>
      <c r="E56" s="2"/>
      <c r="F56" s="2"/>
      <c r="G56" s="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/>
      <c r="B57" s="2"/>
      <c r="C57" s="2"/>
      <c r="D57" s="2"/>
      <c r="E57" s="2"/>
      <c r="F57" s="2"/>
      <c r="G57" s="6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/>
      <c r="B58" s="2"/>
      <c r="C58" s="2"/>
      <c r="D58" s="2"/>
      <c r="E58" s="2"/>
      <c r="F58" s="2"/>
      <c r="G58" s="6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/>
      <c r="B59" s="2"/>
      <c r="C59" s="2"/>
      <c r="D59" s="2"/>
      <c r="E59" s="2"/>
      <c r="F59" s="2"/>
      <c r="G59" s="6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/>
      <c r="B60" s="2"/>
      <c r="C60" s="2"/>
      <c r="D60" s="2"/>
      <c r="E60" s="2"/>
      <c r="F60" s="2"/>
      <c r="G60" s="6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/>
      <c r="B61" s="2"/>
      <c r="C61" s="2"/>
      <c r="D61" s="2"/>
      <c r="E61" s="2"/>
      <c r="F61" s="2"/>
      <c r="G61" s="6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/>
      <c r="B62" s="2"/>
      <c r="C62" s="2"/>
      <c r="D62" s="2"/>
      <c r="E62" s="2"/>
      <c r="F62" s="2"/>
      <c r="G62" s="6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/>
      <c r="B63" s="2"/>
      <c r="C63" s="2"/>
      <c r="D63" s="2"/>
      <c r="E63" s="2"/>
      <c r="F63" s="2"/>
      <c r="G63" s="6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/>
      <c r="B64" s="2"/>
      <c r="C64" s="2"/>
      <c r="D64" s="2"/>
      <c r="E64" s="2"/>
      <c r="F64" s="2"/>
      <c r="G64" s="6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/>
      <c r="B65" s="2"/>
      <c r="C65" s="2"/>
      <c r="D65" s="2"/>
      <c r="E65" s="2"/>
      <c r="F65" s="2"/>
      <c r="G65" s="6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/>
      <c r="B66" s="2"/>
      <c r="C66" s="2"/>
      <c r="D66" s="2"/>
      <c r="E66" s="2"/>
      <c r="F66" s="2"/>
      <c r="G66" s="6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/>
      <c r="B67" s="2"/>
      <c r="C67" s="2"/>
      <c r="D67" s="2"/>
      <c r="E67" s="2"/>
      <c r="F67" s="2"/>
      <c r="G67" s="6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/>
      <c r="B68" s="2"/>
      <c r="C68" s="2"/>
      <c r="D68" s="2"/>
      <c r="E68" s="2"/>
      <c r="F68" s="2"/>
      <c r="G68" s="6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/>
      <c r="B69" s="2"/>
      <c r="C69" s="2"/>
      <c r="D69" s="2"/>
      <c r="E69" s="2"/>
      <c r="F69" s="2"/>
      <c r="G69" s="6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/>
      <c r="B70" s="2"/>
      <c r="C70" s="2"/>
      <c r="D70" s="2"/>
      <c r="E70" s="2"/>
      <c r="F70" s="2"/>
      <c r="G70" s="6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/>
      <c r="B71" s="2"/>
      <c r="C71" s="2"/>
      <c r="D71" s="2"/>
      <c r="E71" s="2"/>
      <c r="F71" s="2"/>
      <c r="G71" s="6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/>
      <c r="B72" s="2"/>
      <c r="C72" s="2"/>
      <c r="D72" s="2"/>
      <c r="E72" s="2"/>
      <c r="F72" s="2"/>
      <c r="G72" s="6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/>
      <c r="B73" s="2"/>
      <c r="C73" s="2"/>
      <c r="D73" s="2"/>
      <c r="E73" s="2"/>
      <c r="F73" s="2"/>
      <c r="G73" s="6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/>
      <c r="B74" s="2"/>
      <c r="C74" s="2"/>
      <c r="D74" s="2"/>
      <c r="E74" s="2"/>
      <c r="F74" s="2"/>
      <c r="G74" s="6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/>
      <c r="B75" s="2"/>
      <c r="C75" s="2"/>
      <c r="D75" s="2"/>
      <c r="E75" s="2"/>
      <c r="F75" s="2"/>
      <c r="G75" s="6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/>
      <c r="B76" s="2"/>
      <c r="C76" s="2"/>
      <c r="D76" s="2"/>
      <c r="E76" s="2"/>
      <c r="F76" s="2"/>
      <c r="G76" s="6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/>
      <c r="B77" s="2"/>
      <c r="C77" s="2"/>
      <c r="D77" s="2"/>
      <c r="E77" s="2"/>
      <c r="F77" s="2"/>
      <c r="G77" s="6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/>
      <c r="B78" s="2"/>
      <c r="C78" s="2"/>
      <c r="D78" s="2"/>
      <c r="E78" s="2"/>
      <c r="F78" s="2"/>
      <c r="G78" s="6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/>
      <c r="B79" s="2"/>
      <c r="C79" s="2"/>
      <c r="D79" s="2"/>
      <c r="E79" s="2"/>
      <c r="F79" s="2"/>
      <c r="G79" s="6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/>
      <c r="B80" s="2"/>
      <c r="C80" s="2"/>
      <c r="D80" s="2"/>
      <c r="E80" s="2"/>
      <c r="F80" s="2"/>
      <c r="G80" s="6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/>
      <c r="B81" s="2"/>
      <c r="C81" s="2"/>
      <c r="D81" s="2"/>
      <c r="E81" s="2"/>
      <c r="F81" s="2"/>
      <c r="G81" s="6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/>
      <c r="B82" s="2"/>
      <c r="C82" s="2"/>
      <c r="D82" s="2"/>
      <c r="E82" s="2"/>
      <c r="F82" s="2"/>
      <c r="G82" s="6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/>
      <c r="B83" s="2"/>
      <c r="C83" s="2"/>
      <c r="D83" s="2"/>
      <c r="E83" s="2"/>
      <c r="F83" s="2"/>
      <c r="G83" s="6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/>
      <c r="B84" s="2"/>
      <c r="C84" s="2"/>
      <c r="D84" s="2"/>
      <c r="E84" s="2"/>
      <c r="F84" s="2"/>
      <c r="G84" s="6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/>
      <c r="B85" s="2"/>
      <c r="C85" s="2"/>
      <c r="D85" s="2"/>
      <c r="E85" s="2"/>
      <c r="F85" s="2"/>
      <c r="G85" s="6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/>
      <c r="B86" s="2"/>
      <c r="C86" s="2"/>
      <c r="D86" s="2"/>
      <c r="E86" s="2"/>
      <c r="F86" s="2"/>
      <c r="G86" s="6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/>
      <c r="B87" s="2"/>
      <c r="C87" s="2"/>
      <c r="D87" s="2"/>
      <c r="E87" s="2"/>
      <c r="F87" s="2"/>
      <c r="G87" s="6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/>
      <c r="B88" s="2"/>
      <c r="C88" s="2"/>
      <c r="D88" s="2"/>
      <c r="E88" s="2"/>
      <c r="F88" s="2"/>
      <c r="G88" s="6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/>
      <c r="B89" s="2"/>
      <c r="C89" s="2"/>
      <c r="D89" s="2"/>
      <c r="E89" s="2"/>
      <c r="F89" s="2"/>
      <c r="G89" s="6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/>
      <c r="B90" s="2"/>
      <c r="C90" s="2"/>
      <c r="D90" s="2"/>
      <c r="E90" s="2"/>
      <c r="F90" s="2"/>
      <c r="G90" s="6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/>
      <c r="B91" s="2"/>
      <c r="C91" s="2"/>
      <c r="D91" s="2"/>
      <c r="E91" s="2"/>
      <c r="F91" s="2"/>
      <c r="G91" s="6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/>
      <c r="B92" s="2"/>
      <c r="C92" s="2"/>
      <c r="D92" s="2"/>
      <c r="E92" s="2"/>
      <c r="F92" s="2"/>
      <c r="G92" s="6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/>
      <c r="B93" s="2"/>
      <c r="C93" s="2"/>
      <c r="D93" s="2"/>
      <c r="E93" s="2"/>
      <c r="F93" s="2"/>
      <c r="G93" s="6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/>
      <c r="B94" s="2"/>
      <c r="C94" s="2"/>
      <c r="D94" s="2"/>
      <c r="E94" s="2"/>
      <c r="F94" s="2"/>
      <c r="G94" s="6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/>
      <c r="B95" s="2"/>
      <c r="C95" s="2"/>
      <c r="D95" s="2"/>
      <c r="E95" s="2"/>
      <c r="F95" s="2"/>
      <c r="G95" s="6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/>
      <c r="B96" s="2"/>
      <c r="C96" s="2"/>
      <c r="D96" s="2"/>
      <c r="E96" s="2"/>
      <c r="F96" s="2"/>
      <c r="G96" s="6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/>
      <c r="B97" s="2"/>
      <c r="C97" s="2"/>
      <c r="D97" s="2"/>
      <c r="E97" s="2"/>
      <c r="F97" s="2"/>
      <c r="G97" s="6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/>
      <c r="B98" s="2"/>
      <c r="C98" s="2"/>
      <c r="D98" s="2"/>
      <c r="E98" s="2"/>
      <c r="F98" s="2"/>
      <c r="G98" s="6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6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6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400"/>
  <sheetViews>
    <sheetView workbookViewId="0"/>
  </sheetViews>
  <sheetFormatPr defaultRowHeight="14.25"/>
  <cols>
    <col min="1" max="1" width="14" customWidth="1"/>
    <col min="2" max="2" width="10" customWidth="1"/>
    <col min="3" max="3" width="20" customWidth="1"/>
    <col min="4" max="4" width="32" customWidth="1"/>
    <col min="5" max="5" width="14" customWidth="1"/>
    <col min="6" max="6" width="20" customWidth="1"/>
    <col min="7" max="7" width="24" customWidth="1"/>
    <col min="8" max="8" width="35" customWidth="1"/>
    <col min="9" max="9" width="48" customWidth="1"/>
    <col min="10" max="10" width="16" customWidth="1"/>
  </cols>
  <sheetData>
    <row r="1" spans="1:52" ht="15">
      <c r="A1" s="1" t="s">
        <v>2000</v>
      </c>
      <c r="B1" s="1" t="s">
        <v>2001</v>
      </c>
      <c r="C1" s="1" t="s">
        <v>70</v>
      </c>
      <c r="D1" s="1" t="s">
        <v>2002</v>
      </c>
      <c r="E1" s="1" t="s">
        <v>2003</v>
      </c>
      <c r="F1" s="1" t="s">
        <v>2004</v>
      </c>
      <c r="G1" s="1" t="s">
        <v>2005</v>
      </c>
      <c r="H1" s="1" t="s">
        <v>2006</v>
      </c>
      <c r="I1" s="1" t="s">
        <v>2007</v>
      </c>
      <c r="J1" s="1" t="s">
        <v>2008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28.5">
      <c r="A2" s="2" t="s">
        <v>96</v>
      </c>
      <c r="B2" s="2">
        <v>1</v>
      </c>
      <c r="C2" s="2" t="s">
        <v>97</v>
      </c>
      <c r="D2" s="2" t="s">
        <v>2009</v>
      </c>
      <c r="E2" s="2">
        <v>25</v>
      </c>
      <c r="F2" s="2" t="s">
        <v>2010</v>
      </c>
      <c r="G2" s="2" t="s">
        <v>2011</v>
      </c>
      <c r="H2" s="2" t="s">
        <v>2012</v>
      </c>
      <c r="I2" s="2" t="s">
        <v>2013</v>
      </c>
      <c r="J2" s="2" t="s">
        <v>112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28.5">
      <c r="A3" s="2" t="s">
        <v>96</v>
      </c>
      <c r="B3" s="2">
        <v>2</v>
      </c>
      <c r="C3" s="2" t="s">
        <v>512</v>
      </c>
      <c r="D3" s="2" t="s">
        <v>514</v>
      </c>
      <c r="E3" s="2">
        <v>14</v>
      </c>
      <c r="F3" s="2" t="s">
        <v>2014</v>
      </c>
      <c r="G3" s="2" t="s">
        <v>2015</v>
      </c>
      <c r="H3" s="2" t="s">
        <v>2016</v>
      </c>
      <c r="I3" s="2" t="s">
        <v>1869</v>
      </c>
      <c r="J3" s="2" t="s">
        <v>2017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28.5">
      <c r="A4" s="2" t="s">
        <v>96</v>
      </c>
      <c r="B4" s="2">
        <v>3</v>
      </c>
      <c r="C4" s="2" t="s">
        <v>331</v>
      </c>
      <c r="D4" s="2" t="s">
        <v>2018</v>
      </c>
      <c r="E4" s="2">
        <v>20</v>
      </c>
      <c r="F4" s="2" t="s">
        <v>2019</v>
      </c>
      <c r="G4" s="2" t="s">
        <v>2020</v>
      </c>
      <c r="H4" s="2" t="s">
        <v>2021</v>
      </c>
      <c r="I4" s="2" t="s">
        <v>2022</v>
      </c>
      <c r="J4" s="2" t="s">
        <v>2023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42.75">
      <c r="A5" s="2" t="s">
        <v>96</v>
      </c>
      <c r="B5" s="2">
        <v>4</v>
      </c>
      <c r="C5" s="2" t="s">
        <v>564</v>
      </c>
      <c r="D5" s="2" t="s">
        <v>565</v>
      </c>
      <c r="E5" s="2">
        <v>16</v>
      </c>
      <c r="F5" s="2" t="s">
        <v>2024</v>
      </c>
      <c r="G5" s="2" t="s">
        <v>1857</v>
      </c>
      <c r="H5" s="2" t="s">
        <v>2025</v>
      </c>
      <c r="I5" s="2" t="s">
        <v>1873</v>
      </c>
      <c r="J5" s="2" t="s">
        <v>2017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28.5">
      <c r="A6" s="2" t="s">
        <v>96</v>
      </c>
      <c r="B6" s="2">
        <v>5</v>
      </c>
      <c r="C6" s="2" t="s">
        <v>1355</v>
      </c>
      <c r="D6" s="2" t="s">
        <v>2026</v>
      </c>
      <c r="E6" s="2">
        <v>15</v>
      </c>
      <c r="F6" s="2" t="s">
        <v>2027</v>
      </c>
      <c r="G6" s="2" t="s">
        <v>2028</v>
      </c>
      <c r="H6" s="2" t="s">
        <v>2029</v>
      </c>
      <c r="I6" s="2" t="s">
        <v>2030</v>
      </c>
      <c r="J6" s="2" t="s">
        <v>2023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28.5">
      <c r="A7" s="2" t="s">
        <v>650</v>
      </c>
      <c r="B7" s="2">
        <v>1</v>
      </c>
      <c r="C7" s="2" t="s">
        <v>331</v>
      </c>
      <c r="D7" s="2" t="s">
        <v>2031</v>
      </c>
      <c r="E7" s="2">
        <v>30</v>
      </c>
      <c r="F7" s="2" t="s">
        <v>2019</v>
      </c>
      <c r="G7" s="2" t="s">
        <v>2020</v>
      </c>
      <c r="H7" s="2" t="s">
        <v>2032</v>
      </c>
      <c r="I7" s="2" t="s">
        <v>1859</v>
      </c>
      <c r="J7" s="2" t="s">
        <v>2023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28.5">
      <c r="A8" s="2" t="s">
        <v>650</v>
      </c>
      <c r="B8" s="2">
        <v>2</v>
      </c>
      <c r="C8" s="2" t="s">
        <v>97</v>
      </c>
      <c r="D8" s="2" t="s">
        <v>2033</v>
      </c>
      <c r="E8" s="2">
        <v>25</v>
      </c>
      <c r="F8" s="2" t="s">
        <v>2034</v>
      </c>
      <c r="G8" s="2" t="s">
        <v>2011</v>
      </c>
      <c r="H8" s="2" t="s">
        <v>2035</v>
      </c>
      <c r="I8" s="2" t="s">
        <v>2013</v>
      </c>
      <c r="J8" s="2" t="s">
        <v>112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28.5">
      <c r="A9" s="2" t="s">
        <v>650</v>
      </c>
      <c r="B9" s="2">
        <v>3</v>
      </c>
      <c r="C9" s="2" t="s">
        <v>564</v>
      </c>
      <c r="D9" s="2" t="s">
        <v>2036</v>
      </c>
      <c r="E9" s="2">
        <v>0</v>
      </c>
      <c r="F9" s="2" t="s">
        <v>2037</v>
      </c>
      <c r="G9" s="2" t="s">
        <v>2038</v>
      </c>
      <c r="H9" s="2" t="s">
        <v>2039</v>
      </c>
      <c r="I9" s="2" t="s">
        <v>2040</v>
      </c>
      <c r="J9" s="2" t="s">
        <v>2041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 t="s">
        <v>650</v>
      </c>
      <c r="B10" s="2">
        <v>4</v>
      </c>
      <c r="C10" s="2" t="s">
        <v>512</v>
      </c>
      <c r="D10" s="2" t="s">
        <v>2042</v>
      </c>
      <c r="E10" s="2">
        <v>3</v>
      </c>
      <c r="F10" s="2" t="s">
        <v>2014</v>
      </c>
      <c r="G10" s="2" t="s">
        <v>1887</v>
      </c>
      <c r="H10" s="2" t="s">
        <v>2043</v>
      </c>
      <c r="I10" s="2" t="s">
        <v>1869</v>
      </c>
      <c r="J10" s="2" t="s">
        <v>2017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28.5">
      <c r="A11" s="2" t="s">
        <v>650</v>
      </c>
      <c r="B11" s="2">
        <v>5</v>
      </c>
      <c r="C11" s="2" t="s">
        <v>1355</v>
      </c>
      <c r="D11" s="2" t="s">
        <v>2044</v>
      </c>
      <c r="E11" s="2">
        <v>10</v>
      </c>
      <c r="F11" s="2" t="s">
        <v>2045</v>
      </c>
      <c r="G11" s="2" t="s">
        <v>2046</v>
      </c>
      <c r="H11" s="2" t="s">
        <v>2047</v>
      </c>
      <c r="I11" s="2" t="s">
        <v>2048</v>
      </c>
      <c r="J11" s="2" t="s">
        <v>2023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28.5">
      <c r="A12" s="2" t="s">
        <v>1155</v>
      </c>
      <c r="B12" s="2">
        <v>1</v>
      </c>
      <c r="C12" s="2" t="s">
        <v>331</v>
      </c>
      <c r="D12" s="2" t="s">
        <v>2049</v>
      </c>
      <c r="E12" s="2">
        <v>12</v>
      </c>
      <c r="F12" s="2" t="s">
        <v>2050</v>
      </c>
      <c r="G12" s="2" t="s">
        <v>2051</v>
      </c>
      <c r="H12" s="2" t="s">
        <v>2052</v>
      </c>
      <c r="I12" s="2" t="s">
        <v>1865</v>
      </c>
      <c r="J12" s="2" t="s">
        <v>2017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42.75">
      <c r="A13" s="2" t="s">
        <v>1155</v>
      </c>
      <c r="B13" s="2">
        <v>2</v>
      </c>
      <c r="C13" s="2" t="s">
        <v>564</v>
      </c>
      <c r="D13" s="2" t="s">
        <v>2053</v>
      </c>
      <c r="E13" s="2">
        <v>32</v>
      </c>
      <c r="F13" s="2" t="s">
        <v>2024</v>
      </c>
      <c r="G13" s="2" t="s">
        <v>1857</v>
      </c>
      <c r="H13" s="2" t="s">
        <v>2054</v>
      </c>
      <c r="I13" s="2" t="s">
        <v>1873</v>
      </c>
      <c r="J13" s="2" t="s">
        <v>2017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28.5">
      <c r="A14" s="2" t="s">
        <v>1155</v>
      </c>
      <c r="B14" s="2">
        <v>3</v>
      </c>
      <c r="C14" s="2" t="s">
        <v>512</v>
      </c>
      <c r="D14" s="2" t="s">
        <v>2055</v>
      </c>
      <c r="E14" s="2">
        <v>20</v>
      </c>
      <c r="F14" s="2" t="s">
        <v>2056</v>
      </c>
      <c r="G14" s="2" t="s">
        <v>2057</v>
      </c>
      <c r="H14" s="2" t="s">
        <v>2058</v>
      </c>
      <c r="I14" s="2" t="s">
        <v>2059</v>
      </c>
      <c r="J14" s="2" t="s">
        <v>2023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28.5">
      <c r="A15" s="2" t="s">
        <v>1155</v>
      </c>
      <c r="B15" s="2">
        <v>4</v>
      </c>
      <c r="C15" s="2" t="s">
        <v>1355</v>
      </c>
      <c r="D15" s="2" t="s">
        <v>2060</v>
      </c>
      <c r="E15" s="2">
        <v>6</v>
      </c>
      <c r="F15" s="2" t="s">
        <v>2061</v>
      </c>
      <c r="G15" s="2" t="s">
        <v>2062</v>
      </c>
      <c r="H15" s="2" t="s">
        <v>2063</v>
      </c>
      <c r="I15" s="2" t="s">
        <v>2048</v>
      </c>
      <c r="J15" s="2" t="s">
        <v>2017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28.5">
      <c r="A16" s="2" t="s">
        <v>1155</v>
      </c>
      <c r="B16" s="2">
        <v>5</v>
      </c>
      <c r="C16" s="2" t="s">
        <v>1397</v>
      </c>
      <c r="D16" s="2" t="s">
        <v>2064</v>
      </c>
      <c r="E16" s="2">
        <v>25</v>
      </c>
      <c r="F16" s="2" t="s">
        <v>2065</v>
      </c>
      <c r="G16" s="2" t="s">
        <v>2066</v>
      </c>
      <c r="H16" s="2" t="s">
        <v>2067</v>
      </c>
      <c r="I16" s="2" t="s">
        <v>2068</v>
      </c>
      <c r="J16" s="2" t="s">
        <v>2017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400"/>
  <sheetViews>
    <sheetView workbookViewId="0"/>
  </sheetViews>
  <sheetFormatPr defaultRowHeight="14.25"/>
  <cols>
    <col min="1" max="1" width="20" customWidth="1"/>
    <col min="2" max="2" width="24" customWidth="1"/>
    <col min="3" max="3" width="12" customWidth="1"/>
    <col min="4" max="4" width="16" customWidth="1"/>
    <col min="5" max="5" width="24" customWidth="1"/>
    <col min="6" max="6" width="55" customWidth="1"/>
  </cols>
  <sheetData>
    <row r="1" spans="1:52" ht="15">
      <c r="A1" s="1" t="s">
        <v>2069</v>
      </c>
      <c r="B1" s="1" t="s">
        <v>2070</v>
      </c>
      <c r="C1" s="1" t="s">
        <v>2071</v>
      </c>
      <c r="D1" s="1" t="s">
        <v>2072</v>
      </c>
      <c r="E1" s="1" t="s">
        <v>2073</v>
      </c>
      <c r="F1" s="1" t="s">
        <v>2074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42.75">
      <c r="A2" s="2" t="s">
        <v>2075</v>
      </c>
      <c r="B2" s="2" t="s">
        <v>68</v>
      </c>
      <c r="C2" s="2" t="s">
        <v>110</v>
      </c>
      <c r="D2" s="2" t="s">
        <v>2076</v>
      </c>
      <c r="E2" s="2" t="s">
        <v>2077</v>
      </c>
      <c r="F2" s="2" t="s">
        <v>2078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28.5">
      <c r="A3" s="2" t="s">
        <v>2075</v>
      </c>
      <c r="B3" s="2" t="s">
        <v>69</v>
      </c>
      <c r="C3" s="2" t="s">
        <v>110</v>
      </c>
      <c r="D3" s="2" t="s">
        <v>2079</v>
      </c>
      <c r="E3" s="2" t="s">
        <v>2080</v>
      </c>
      <c r="F3" s="2" t="s">
        <v>2081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 t="s">
        <v>2075</v>
      </c>
      <c r="B4" s="2" t="s">
        <v>70</v>
      </c>
      <c r="C4" s="2" t="s">
        <v>110</v>
      </c>
      <c r="D4" s="2" t="s">
        <v>2076</v>
      </c>
      <c r="E4" s="2"/>
      <c r="F4" s="2" t="s">
        <v>2082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 t="s">
        <v>2075</v>
      </c>
      <c r="B5" s="2" t="s">
        <v>71</v>
      </c>
      <c r="C5" s="2" t="s">
        <v>110</v>
      </c>
      <c r="D5" s="2" t="s">
        <v>2076</v>
      </c>
      <c r="E5" s="2"/>
      <c r="F5" s="2" t="s">
        <v>2083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28.5">
      <c r="A6" s="2" t="s">
        <v>2075</v>
      </c>
      <c r="B6" s="2" t="s">
        <v>72</v>
      </c>
      <c r="C6" s="2" t="s">
        <v>2084</v>
      </c>
      <c r="D6" s="2" t="s">
        <v>2076</v>
      </c>
      <c r="E6" s="2"/>
      <c r="F6" s="2" t="s">
        <v>2085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 t="s">
        <v>2075</v>
      </c>
      <c r="B7" s="2" t="s">
        <v>73</v>
      </c>
      <c r="C7" s="2" t="s">
        <v>110</v>
      </c>
      <c r="D7" s="2" t="s">
        <v>2076</v>
      </c>
      <c r="E7" s="2"/>
      <c r="F7" s="2" t="s">
        <v>2086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2" t="s">
        <v>2075</v>
      </c>
      <c r="B8" s="2" t="s">
        <v>74</v>
      </c>
      <c r="C8" s="2" t="s">
        <v>110</v>
      </c>
      <c r="D8" s="2" t="s">
        <v>2076</v>
      </c>
      <c r="E8" s="2"/>
      <c r="F8" s="2" t="s">
        <v>2087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57">
      <c r="A9" s="2" t="s">
        <v>2075</v>
      </c>
      <c r="B9" s="2" t="s">
        <v>75</v>
      </c>
      <c r="C9" s="2" t="s">
        <v>110</v>
      </c>
      <c r="D9" s="2" t="s">
        <v>2079</v>
      </c>
      <c r="E9" s="2" t="s">
        <v>2088</v>
      </c>
      <c r="F9" s="2" t="s">
        <v>2089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28.5">
      <c r="A10" s="2" t="s">
        <v>2075</v>
      </c>
      <c r="B10" s="2" t="s">
        <v>76</v>
      </c>
      <c r="C10" s="2" t="s">
        <v>110</v>
      </c>
      <c r="D10" s="2" t="s">
        <v>2079</v>
      </c>
      <c r="E10" s="2" t="s">
        <v>2090</v>
      </c>
      <c r="F10" s="2" t="s">
        <v>2091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57">
      <c r="A11" s="2" t="s">
        <v>2075</v>
      </c>
      <c r="B11" s="2" t="s">
        <v>77</v>
      </c>
      <c r="C11" s="2" t="s">
        <v>110</v>
      </c>
      <c r="D11" s="2" t="s">
        <v>2079</v>
      </c>
      <c r="E11" s="2" t="s">
        <v>2092</v>
      </c>
      <c r="F11" s="2" t="s">
        <v>2093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57">
      <c r="A12" s="2" t="s">
        <v>2075</v>
      </c>
      <c r="B12" s="2" t="s">
        <v>78</v>
      </c>
      <c r="C12" s="2" t="s">
        <v>110</v>
      </c>
      <c r="D12" s="2" t="s">
        <v>2079</v>
      </c>
      <c r="E12" s="2" t="s">
        <v>2094</v>
      </c>
      <c r="F12" s="2" t="s">
        <v>2095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42.75">
      <c r="A13" s="2" t="s">
        <v>2075</v>
      </c>
      <c r="B13" s="2" t="s">
        <v>79</v>
      </c>
      <c r="C13" s="2" t="s">
        <v>2084</v>
      </c>
      <c r="D13" s="2" t="s">
        <v>2079</v>
      </c>
      <c r="E13" s="2" t="s">
        <v>2096</v>
      </c>
      <c r="F13" s="2" t="s">
        <v>2097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 t="s">
        <v>2075</v>
      </c>
      <c r="B14" s="2" t="s">
        <v>80</v>
      </c>
      <c r="C14" s="2" t="s">
        <v>110</v>
      </c>
      <c r="D14" s="2" t="s">
        <v>2098</v>
      </c>
      <c r="E14" s="2" t="s">
        <v>2099</v>
      </c>
      <c r="F14" s="2" t="s">
        <v>2100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 t="s">
        <v>2075</v>
      </c>
      <c r="B15" s="2" t="s">
        <v>81</v>
      </c>
      <c r="C15" s="2" t="s">
        <v>110</v>
      </c>
      <c r="D15" s="2" t="s">
        <v>2098</v>
      </c>
      <c r="E15" s="2" t="s">
        <v>2101</v>
      </c>
      <c r="F15" s="2" t="s">
        <v>2102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 t="s">
        <v>2075</v>
      </c>
      <c r="B16" s="2" t="s">
        <v>82</v>
      </c>
      <c r="C16" s="2" t="s">
        <v>110</v>
      </c>
      <c r="D16" s="2" t="s">
        <v>2098</v>
      </c>
      <c r="E16" s="2" t="s">
        <v>2103</v>
      </c>
      <c r="F16" s="2" t="s">
        <v>2104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28.5">
      <c r="A17" s="2" t="s">
        <v>2075</v>
      </c>
      <c r="B17" s="2" t="s">
        <v>83</v>
      </c>
      <c r="C17" s="2" t="s">
        <v>2084</v>
      </c>
      <c r="D17" s="2" t="s">
        <v>2098</v>
      </c>
      <c r="E17" s="2" t="s">
        <v>2101</v>
      </c>
      <c r="F17" s="2" t="s">
        <v>2105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28.5">
      <c r="A18" s="2" t="s">
        <v>2075</v>
      </c>
      <c r="B18" s="2" t="s">
        <v>84</v>
      </c>
      <c r="C18" s="2" t="s">
        <v>2084</v>
      </c>
      <c r="D18" s="2" t="s">
        <v>2098</v>
      </c>
      <c r="E18" s="2" t="s">
        <v>2103</v>
      </c>
      <c r="F18" s="2" t="s">
        <v>2106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2" t="s">
        <v>2075</v>
      </c>
      <c r="B19" s="2" t="s">
        <v>85</v>
      </c>
      <c r="C19" s="2" t="s">
        <v>2107</v>
      </c>
      <c r="D19" s="2" t="s">
        <v>2098</v>
      </c>
      <c r="E19" s="2" t="s">
        <v>2108</v>
      </c>
      <c r="F19" s="2" t="s">
        <v>2109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42.75">
      <c r="A20" s="2" t="s">
        <v>2075</v>
      </c>
      <c r="B20" s="2" t="s">
        <v>86</v>
      </c>
      <c r="C20" s="2" t="s">
        <v>2110</v>
      </c>
      <c r="D20" s="2" t="s">
        <v>2076</v>
      </c>
      <c r="E20" s="2"/>
      <c r="F20" s="2" t="s">
        <v>2111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 t="s">
        <v>2075</v>
      </c>
      <c r="B21" s="2" t="s">
        <v>87</v>
      </c>
      <c r="C21" s="2" t="s">
        <v>110</v>
      </c>
      <c r="D21" s="2" t="s">
        <v>2076</v>
      </c>
      <c r="E21" s="2"/>
      <c r="F21" s="2" t="s">
        <v>2112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 t="s">
        <v>2075</v>
      </c>
      <c r="B22" s="2" t="s">
        <v>88</v>
      </c>
      <c r="C22" s="2" t="s">
        <v>110</v>
      </c>
      <c r="D22" s="2" t="s">
        <v>2113</v>
      </c>
      <c r="E22" s="2" t="s">
        <v>2114</v>
      </c>
      <c r="F22" s="2" t="s">
        <v>2115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 t="s">
        <v>2075</v>
      </c>
      <c r="B23" s="2" t="s">
        <v>89</v>
      </c>
      <c r="C23" s="2" t="s">
        <v>110</v>
      </c>
      <c r="D23" s="2" t="s">
        <v>2113</v>
      </c>
      <c r="E23" s="2" t="s">
        <v>2114</v>
      </c>
      <c r="F23" s="2" t="s">
        <v>2116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 t="s">
        <v>2075</v>
      </c>
      <c r="B24" s="2" t="s">
        <v>90</v>
      </c>
      <c r="C24" s="2" t="s">
        <v>110</v>
      </c>
      <c r="D24" s="2" t="s">
        <v>2113</v>
      </c>
      <c r="E24" s="2" t="s">
        <v>2114</v>
      </c>
      <c r="F24" s="2" t="s">
        <v>2117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 t="s">
        <v>2075</v>
      </c>
      <c r="B25" s="2" t="s">
        <v>91</v>
      </c>
      <c r="C25" s="2" t="s">
        <v>2107</v>
      </c>
      <c r="D25" s="2" t="s">
        <v>2098</v>
      </c>
      <c r="E25" s="2" t="s">
        <v>2118</v>
      </c>
      <c r="F25" s="2" t="s">
        <v>2119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 t="s">
        <v>2075</v>
      </c>
      <c r="B26" s="2" t="s">
        <v>92</v>
      </c>
      <c r="C26" s="2" t="s">
        <v>110</v>
      </c>
      <c r="D26" s="2" t="s">
        <v>2076</v>
      </c>
      <c r="E26" s="2"/>
      <c r="F26" s="2" t="s">
        <v>2120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28.5">
      <c r="A27" s="2" t="s">
        <v>2075</v>
      </c>
      <c r="B27" s="2" t="s">
        <v>93</v>
      </c>
      <c r="C27" s="2" t="s">
        <v>110</v>
      </c>
      <c r="D27" s="2" t="s">
        <v>2079</v>
      </c>
      <c r="E27" s="2" t="s">
        <v>2121</v>
      </c>
      <c r="F27" s="2" t="s">
        <v>2122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 t="s">
        <v>2123</v>
      </c>
      <c r="B28" s="2" t="s">
        <v>1697</v>
      </c>
      <c r="C28" s="2" t="s">
        <v>110</v>
      </c>
      <c r="D28" s="2" t="s">
        <v>2076</v>
      </c>
      <c r="E28" s="2"/>
      <c r="F28" s="2" t="s">
        <v>2124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 t="s">
        <v>2123</v>
      </c>
      <c r="B29" s="2" t="s">
        <v>1698</v>
      </c>
      <c r="C29" s="2" t="s">
        <v>110</v>
      </c>
      <c r="D29" s="2" t="s">
        <v>2125</v>
      </c>
      <c r="E29" s="2"/>
      <c r="F29" s="2" t="s">
        <v>2126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 t="s">
        <v>2123</v>
      </c>
      <c r="B30" s="2" t="s">
        <v>1699</v>
      </c>
      <c r="C30" s="2" t="s">
        <v>110</v>
      </c>
      <c r="D30" s="2" t="s">
        <v>2098</v>
      </c>
      <c r="E30" s="2" t="s">
        <v>2101</v>
      </c>
      <c r="F30" s="2" t="s">
        <v>2127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 t="s">
        <v>2123</v>
      </c>
      <c r="B31" s="2" t="s">
        <v>1700</v>
      </c>
      <c r="C31" s="2" t="s">
        <v>110</v>
      </c>
      <c r="D31" s="2" t="s">
        <v>2098</v>
      </c>
      <c r="E31" s="2" t="s">
        <v>2103</v>
      </c>
      <c r="F31" s="2" t="s">
        <v>2128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28.5">
      <c r="A32" s="2" t="s">
        <v>2123</v>
      </c>
      <c r="B32" s="2" t="s">
        <v>1702</v>
      </c>
      <c r="C32" s="2" t="s">
        <v>110</v>
      </c>
      <c r="D32" s="2" t="s">
        <v>2076</v>
      </c>
      <c r="E32" s="2" t="s">
        <v>2129</v>
      </c>
      <c r="F32" s="2" t="s">
        <v>2130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 t="s">
        <v>2131</v>
      </c>
      <c r="B33" s="2" t="s">
        <v>86</v>
      </c>
      <c r="C33" s="2" t="s">
        <v>110</v>
      </c>
      <c r="D33" s="2" t="s">
        <v>2076</v>
      </c>
      <c r="E33" s="2"/>
      <c r="F33" s="2" t="s">
        <v>2132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28.5">
      <c r="A34" s="2" t="s">
        <v>2131</v>
      </c>
      <c r="B34" s="2" t="s">
        <v>1709</v>
      </c>
      <c r="C34" s="2" t="s">
        <v>2084</v>
      </c>
      <c r="D34" s="2" t="s">
        <v>2098</v>
      </c>
      <c r="E34" s="2" t="s">
        <v>2133</v>
      </c>
      <c r="F34" s="2" t="s">
        <v>2134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28.5">
      <c r="A35" s="2" t="s">
        <v>2131</v>
      </c>
      <c r="B35" s="2" t="s">
        <v>1710</v>
      </c>
      <c r="C35" s="2" t="s">
        <v>2084</v>
      </c>
      <c r="D35" s="2" t="s">
        <v>2098</v>
      </c>
      <c r="E35" s="2" t="s">
        <v>2133</v>
      </c>
      <c r="F35" s="2" t="s">
        <v>2135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28.5">
      <c r="A36" s="2" t="s">
        <v>2131</v>
      </c>
      <c r="B36" s="2" t="s">
        <v>1711</v>
      </c>
      <c r="C36" s="2" t="s">
        <v>2084</v>
      </c>
      <c r="D36" s="2" t="s">
        <v>2098</v>
      </c>
      <c r="E36" s="2" t="s">
        <v>2133</v>
      </c>
      <c r="F36" s="2" t="s">
        <v>2136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28.5">
      <c r="A37" s="2" t="s">
        <v>2131</v>
      </c>
      <c r="B37" s="2" t="s">
        <v>1712</v>
      </c>
      <c r="C37" s="2" t="s">
        <v>2084</v>
      </c>
      <c r="D37" s="2" t="s">
        <v>2098</v>
      </c>
      <c r="E37" s="2" t="s">
        <v>2133</v>
      </c>
      <c r="F37" s="2" t="s">
        <v>2137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28.5">
      <c r="A38" s="2" t="s">
        <v>2131</v>
      </c>
      <c r="B38" s="2" t="s">
        <v>1713</v>
      </c>
      <c r="C38" s="2" t="s">
        <v>2084</v>
      </c>
      <c r="D38" s="2" t="s">
        <v>2098</v>
      </c>
      <c r="E38" s="2" t="s">
        <v>2133</v>
      </c>
      <c r="F38" s="2" t="s">
        <v>2138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400"/>
  <sheetViews>
    <sheetView workbookViewId="0"/>
  </sheetViews>
  <sheetFormatPr defaultRowHeight="14.25"/>
  <sheetData>
    <row r="1" spans="1:52" ht="45">
      <c r="A1" s="1" t="s">
        <v>69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2139</v>
      </c>
      <c r="H1" s="1" t="s">
        <v>93</v>
      </c>
      <c r="I1" s="1" t="s">
        <v>1841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42.75">
      <c r="A2" s="2" t="s">
        <v>96</v>
      </c>
      <c r="B2" s="2" t="s">
        <v>102</v>
      </c>
      <c r="C2" s="2" t="s">
        <v>103</v>
      </c>
      <c r="D2" s="2" t="s">
        <v>344</v>
      </c>
      <c r="E2" s="2" t="s">
        <v>252</v>
      </c>
      <c r="F2" s="2" t="s">
        <v>106</v>
      </c>
      <c r="G2" s="2" t="s">
        <v>110</v>
      </c>
      <c r="H2" s="2" t="s">
        <v>2023</v>
      </c>
      <c r="I2" s="2" t="s">
        <v>1857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28.5">
      <c r="A3" s="2" t="s">
        <v>650</v>
      </c>
      <c r="B3" s="2" t="s">
        <v>250</v>
      </c>
      <c r="C3" s="2" t="s">
        <v>250</v>
      </c>
      <c r="D3" s="2" t="s">
        <v>150</v>
      </c>
      <c r="E3" s="2" t="s">
        <v>105</v>
      </c>
      <c r="F3" s="2" t="s">
        <v>2140</v>
      </c>
      <c r="G3" s="2" t="s">
        <v>109</v>
      </c>
      <c r="H3" s="2" t="s">
        <v>112</v>
      </c>
      <c r="I3" s="2" t="s">
        <v>1848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28.5">
      <c r="A4" s="2" t="s">
        <v>1155</v>
      </c>
      <c r="B4" s="2" t="s">
        <v>359</v>
      </c>
      <c r="C4" s="2" t="s">
        <v>1162</v>
      </c>
      <c r="D4" s="2" t="s">
        <v>251</v>
      </c>
      <c r="E4" s="2" t="s">
        <v>292</v>
      </c>
      <c r="F4" s="2" t="s">
        <v>1164</v>
      </c>
      <c r="G4" s="2"/>
      <c r="H4" s="2" t="s">
        <v>2141</v>
      </c>
      <c r="I4" s="2" t="s">
        <v>2142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28.5">
      <c r="A5" s="2"/>
      <c r="B5" s="2" t="s">
        <v>1386</v>
      </c>
      <c r="C5" s="2" t="s">
        <v>1330</v>
      </c>
      <c r="D5" s="2" t="s">
        <v>300</v>
      </c>
      <c r="E5" s="2" t="s">
        <v>1163</v>
      </c>
      <c r="F5" s="2" t="s">
        <v>2143</v>
      </c>
      <c r="G5" s="2"/>
      <c r="H5" s="2" t="s">
        <v>2144</v>
      </c>
      <c r="I5" s="2" t="s">
        <v>2145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28.5">
      <c r="A6" s="2"/>
      <c r="B6" s="2" t="s">
        <v>1360</v>
      </c>
      <c r="C6" s="2" t="s">
        <v>308</v>
      </c>
      <c r="D6" s="2" t="s">
        <v>2146</v>
      </c>
      <c r="E6" s="2" t="s">
        <v>2147</v>
      </c>
      <c r="F6" s="2" t="s">
        <v>568</v>
      </c>
      <c r="G6" s="2"/>
      <c r="H6" s="2"/>
      <c r="I6" s="2" t="s">
        <v>2148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42.75">
      <c r="A7" s="2"/>
      <c r="B7" s="2" t="s">
        <v>2149</v>
      </c>
      <c r="C7" s="2"/>
      <c r="D7" s="2" t="s">
        <v>2150</v>
      </c>
      <c r="E7" s="2"/>
      <c r="F7" s="2"/>
      <c r="G7" s="2"/>
      <c r="H7" s="2" t="s">
        <v>1364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42.75">
      <c r="A8" s="2"/>
      <c r="B8" s="2" t="s">
        <v>2151</v>
      </c>
      <c r="C8" s="2"/>
      <c r="D8" s="2" t="s">
        <v>104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42.75">
      <c r="A9" s="2"/>
      <c r="B9" s="2" t="s">
        <v>1161</v>
      </c>
      <c r="C9" s="2"/>
      <c r="D9" s="2"/>
      <c r="E9" s="2"/>
      <c r="F9" s="2"/>
      <c r="G9" s="2"/>
      <c r="H9" s="2" t="s">
        <v>1704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42.75">
      <c r="A10" s="2"/>
      <c r="B10" s="2"/>
      <c r="C10" s="2"/>
      <c r="D10" s="2"/>
      <c r="E10" s="2"/>
      <c r="F10" s="2"/>
      <c r="G10" s="2"/>
      <c r="H10" s="2" t="s">
        <v>1707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28.5">
      <c r="A11" s="2"/>
      <c r="B11" s="2"/>
      <c r="C11" s="2"/>
      <c r="D11" s="2"/>
      <c r="E11" s="2"/>
      <c r="F11" s="2"/>
      <c r="G11" s="2"/>
      <c r="H11" s="2" t="s">
        <v>2152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workbookViewId="0">
      <selection activeCell="B13" sqref="B13"/>
    </sheetView>
  </sheetViews>
  <sheetFormatPr defaultRowHeight="14.25"/>
  <cols>
    <col min="1" max="2" width="28" customWidth="1"/>
    <col min="3" max="4" width="20" customWidth="1"/>
  </cols>
  <sheetData>
    <row r="1" spans="1:8" ht="20.25">
      <c r="A1" s="18" t="s">
        <v>2153</v>
      </c>
      <c r="B1" s="18"/>
      <c r="C1" s="18"/>
      <c r="D1" s="18"/>
      <c r="E1" s="18"/>
      <c r="F1" s="18"/>
      <c r="G1" s="18"/>
      <c r="H1" s="18"/>
    </row>
    <row r="3" spans="1:8" ht="15">
      <c r="A3" s="1" t="s">
        <v>2000</v>
      </c>
      <c r="B3" s="1" t="s">
        <v>2154</v>
      </c>
      <c r="C3" s="1" t="s">
        <v>2141</v>
      </c>
      <c r="D3" s="1" t="s">
        <v>2155</v>
      </c>
      <c r="E3" t="s">
        <v>2156</v>
      </c>
      <c r="F3" t="s">
        <v>2157</v>
      </c>
    </row>
    <row r="4" spans="1:8">
      <c r="A4" t="s">
        <v>96</v>
      </c>
      <c r="B4">
        <v>100</v>
      </c>
      <c r="C4">
        <v>0</v>
      </c>
      <c r="D4" s="13">
        <f>C4/B4</f>
        <v>0</v>
      </c>
      <c r="E4">
        <v>100</v>
      </c>
      <c r="F4" s="14">
        <v>1</v>
      </c>
    </row>
    <row r="5" spans="1:8">
      <c r="A5" t="s">
        <v>650</v>
      </c>
      <c r="B5">
        <v>100</v>
      </c>
      <c r="C5">
        <v>0</v>
      </c>
      <c r="D5" s="13">
        <f>C5/B5</f>
        <v>0</v>
      </c>
      <c r="E5">
        <v>100</v>
      </c>
      <c r="F5" s="14">
        <v>1</v>
      </c>
    </row>
    <row r="6" spans="1:8">
      <c r="A6" t="s">
        <v>1155</v>
      </c>
      <c r="B6">
        <v>100</v>
      </c>
      <c r="C6">
        <v>0</v>
      </c>
      <c r="D6" s="13">
        <f>C6/B6</f>
        <v>0</v>
      </c>
      <c r="E6">
        <v>100</v>
      </c>
      <c r="F6" s="14">
        <v>1</v>
      </c>
    </row>
    <row r="7" spans="1:8">
      <c r="A7" t="s">
        <v>2158</v>
      </c>
      <c r="B7">
        <v>300</v>
      </c>
      <c r="C7">
        <f>COUNTIF(Pump_Aggregates!$Z$2:$Z$301,"Verified")</f>
        <v>0</v>
      </c>
      <c r="D7" s="13">
        <f>C7/B7</f>
        <v>0</v>
      </c>
      <c r="E7">
        <v>300</v>
      </c>
      <c r="F7" s="14">
        <v>1</v>
      </c>
    </row>
    <row r="9" spans="1:8" ht="15">
      <c r="A9" s="1" t="s">
        <v>2159</v>
      </c>
      <c r="B9" s="1" t="s">
        <v>2160</v>
      </c>
    </row>
    <row r="10" spans="1:8">
      <c r="A10" t="s">
        <v>2161</v>
      </c>
      <c r="B10">
        <v>300</v>
      </c>
    </row>
    <row r="11" spans="1:8">
      <c r="A11" t="s">
        <v>2281</v>
      </c>
      <c r="B11">
        <v>217</v>
      </c>
    </row>
    <row r="12" spans="1:8">
      <c r="A12" t="s">
        <v>2282</v>
      </c>
      <c r="B12">
        <v>71</v>
      </c>
    </row>
    <row r="13" spans="1:8">
      <c r="A13" t="s">
        <v>2162</v>
      </c>
      <c r="B13">
        <v>39</v>
      </c>
    </row>
    <row r="14" spans="1:8">
      <c r="A14" t="s">
        <v>2163</v>
      </c>
      <c r="B14">
        <v>300</v>
      </c>
    </row>
    <row r="15" spans="1:8">
      <c r="A15" t="s">
        <v>2164</v>
      </c>
      <c r="B15">
        <v>22</v>
      </c>
    </row>
    <row r="16" spans="1:8">
      <c r="A16" t="s">
        <v>2165</v>
      </c>
      <c r="B16">
        <v>10</v>
      </c>
    </row>
    <row r="17" spans="1:2">
      <c r="A17" t="s">
        <v>2166</v>
      </c>
      <c r="B17">
        <v>12</v>
      </c>
    </row>
    <row r="18" spans="1:2">
      <c r="A18" t="s">
        <v>2167</v>
      </c>
      <c r="B18">
        <v>278</v>
      </c>
    </row>
    <row r="19" spans="1:2">
      <c r="A19" t="s">
        <v>2168</v>
      </c>
      <c r="B19">
        <v>0</v>
      </c>
    </row>
  </sheetData>
  <mergeCells count="1">
    <mergeCell ref="A1:H1"/>
  </mergeCells>
  <conditionalFormatting sqref="D4:D7">
    <cfRule type="dataBar" priority="1">
      <dataBar>
        <cfvo type="min"/>
        <cfvo type="max"/>
        <color rgb="FF1F4E79"/>
      </dataBar>
    </cfRule>
  </conditionalFormatting>
  <conditionalFormatting sqref="D4:D7">
    <cfRule type="dataBar" priority="2">
      <dataBar>
        <cfvo type="min"/>
        <cfvo type="max"/>
        <color rgb="FF1F4E79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D4:D7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01"/>
  <sheetViews>
    <sheetView workbookViewId="0"/>
  </sheetViews>
  <sheetFormatPr defaultRowHeight="14.25"/>
  <cols>
    <col min="1" max="2" width="12" customWidth="1"/>
    <col min="3" max="3" width="18" customWidth="1"/>
    <col min="4" max="4" width="28" customWidth="1"/>
    <col min="5" max="5" width="30" customWidth="1"/>
    <col min="6" max="6" width="10" customWidth="1"/>
    <col min="7" max="7" width="14" customWidth="1"/>
    <col min="8" max="9" width="12" customWidth="1"/>
    <col min="10" max="11" width="18" customWidth="1"/>
    <col min="12" max="12" width="34" customWidth="1"/>
    <col min="13" max="13" width="24" customWidth="1"/>
    <col min="14" max="14" width="16" customWidth="1"/>
    <col min="15" max="15" width="46" customWidth="1"/>
  </cols>
  <sheetData>
    <row r="1" spans="1:15" ht="30">
      <c r="A1" s="15" t="s">
        <v>68</v>
      </c>
      <c r="B1" s="15" t="s">
        <v>2000</v>
      </c>
      <c r="C1" s="15" t="s">
        <v>70</v>
      </c>
      <c r="D1" s="15" t="s">
        <v>73</v>
      </c>
      <c r="E1" s="15" t="s">
        <v>87</v>
      </c>
      <c r="F1" s="15" t="s">
        <v>92</v>
      </c>
      <c r="G1" s="15" t="s">
        <v>2169</v>
      </c>
      <c r="H1" s="15" t="s">
        <v>2170</v>
      </c>
      <c r="I1" s="15" t="s">
        <v>2171</v>
      </c>
      <c r="J1" s="15" t="s">
        <v>2172</v>
      </c>
      <c r="K1" s="15" t="s">
        <v>2173</v>
      </c>
      <c r="L1" s="15" t="s">
        <v>2174</v>
      </c>
      <c r="M1" s="15" t="s">
        <v>2175</v>
      </c>
      <c r="N1" s="15" t="s">
        <v>2176</v>
      </c>
      <c r="O1" s="15" t="s">
        <v>2177</v>
      </c>
    </row>
    <row r="2" spans="1:15" ht="28.5">
      <c r="A2" s="2" t="s">
        <v>95</v>
      </c>
      <c r="B2" s="2" t="s">
        <v>96</v>
      </c>
      <c r="C2" s="2" t="s">
        <v>97</v>
      </c>
      <c r="D2" s="2" t="s">
        <v>100</v>
      </c>
      <c r="E2" s="2" t="s">
        <v>108</v>
      </c>
      <c r="F2" s="2" t="s">
        <v>111</v>
      </c>
      <c r="G2" s="2">
        <v>0</v>
      </c>
      <c r="H2" s="2" t="s">
        <v>2178</v>
      </c>
      <c r="I2" s="2" t="s">
        <v>2178</v>
      </c>
      <c r="J2" s="2" t="s">
        <v>2178</v>
      </c>
      <c r="K2" s="2" t="s">
        <v>2178</v>
      </c>
      <c r="L2" s="2" t="s">
        <v>2179</v>
      </c>
      <c r="M2" s="2" t="s">
        <v>2180</v>
      </c>
      <c r="N2" s="2" t="s">
        <v>109</v>
      </c>
      <c r="O2" s="2" t="s">
        <v>2181</v>
      </c>
    </row>
    <row r="3" spans="1:15" ht="28.5">
      <c r="A3" s="2" t="s">
        <v>114</v>
      </c>
      <c r="B3" s="2" t="s">
        <v>96</v>
      </c>
      <c r="C3" s="2" t="s">
        <v>97</v>
      </c>
      <c r="D3" s="2" t="s">
        <v>115</v>
      </c>
      <c r="E3" s="2" t="s">
        <v>118</v>
      </c>
      <c r="F3" s="2" t="s">
        <v>111</v>
      </c>
      <c r="G3" s="2">
        <v>0</v>
      </c>
      <c r="H3" s="2" t="s">
        <v>2178</v>
      </c>
      <c r="I3" s="2" t="s">
        <v>2178</v>
      </c>
      <c r="J3" s="2" t="s">
        <v>2178</v>
      </c>
      <c r="K3" s="2" t="s">
        <v>2178</v>
      </c>
      <c r="L3" s="2" t="s">
        <v>2179</v>
      </c>
      <c r="M3" s="2" t="s">
        <v>2180</v>
      </c>
      <c r="N3" s="2" t="s">
        <v>109</v>
      </c>
      <c r="O3" s="2" t="s">
        <v>2181</v>
      </c>
    </row>
    <row r="4" spans="1:15" ht="28.5">
      <c r="A4" s="2" t="s">
        <v>119</v>
      </c>
      <c r="B4" s="2" t="s">
        <v>96</v>
      </c>
      <c r="C4" s="2" t="s">
        <v>97</v>
      </c>
      <c r="D4" s="2" t="s">
        <v>120</v>
      </c>
      <c r="E4" s="2" t="s">
        <v>123</v>
      </c>
      <c r="F4" s="2" t="s">
        <v>111</v>
      </c>
      <c r="G4" s="2">
        <v>0</v>
      </c>
      <c r="H4" s="2" t="s">
        <v>2178</v>
      </c>
      <c r="I4" s="2" t="s">
        <v>2178</v>
      </c>
      <c r="J4" s="2" t="s">
        <v>2178</v>
      </c>
      <c r="K4" s="2" t="s">
        <v>2178</v>
      </c>
      <c r="L4" s="2" t="s">
        <v>2179</v>
      </c>
      <c r="M4" s="2" t="s">
        <v>2180</v>
      </c>
      <c r="N4" s="2" t="s">
        <v>109</v>
      </c>
      <c r="O4" s="2" t="s">
        <v>2181</v>
      </c>
    </row>
    <row r="5" spans="1:15" ht="28.5">
      <c r="A5" s="2" t="s">
        <v>125</v>
      </c>
      <c r="B5" s="2" t="s">
        <v>96</v>
      </c>
      <c r="C5" s="2" t="s">
        <v>97</v>
      </c>
      <c r="D5" s="2" t="s">
        <v>127</v>
      </c>
      <c r="E5" s="2" t="s">
        <v>129</v>
      </c>
      <c r="F5" s="2" t="s">
        <v>111</v>
      </c>
      <c r="G5" s="2">
        <v>0</v>
      </c>
      <c r="H5" s="2" t="s">
        <v>2178</v>
      </c>
      <c r="I5" s="2" t="s">
        <v>2178</v>
      </c>
      <c r="J5" s="2" t="s">
        <v>2178</v>
      </c>
      <c r="K5" s="2" t="s">
        <v>2178</v>
      </c>
      <c r="L5" s="2" t="s">
        <v>2179</v>
      </c>
      <c r="M5" s="2" t="s">
        <v>2180</v>
      </c>
      <c r="N5" s="2" t="s">
        <v>109</v>
      </c>
      <c r="O5" s="2" t="s">
        <v>2181</v>
      </c>
    </row>
    <row r="6" spans="1:15" ht="28.5">
      <c r="A6" s="2" t="s">
        <v>131</v>
      </c>
      <c r="B6" s="2" t="s">
        <v>96</v>
      </c>
      <c r="C6" s="2" t="s">
        <v>97</v>
      </c>
      <c r="D6" s="2" t="s">
        <v>132</v>
      </c>
      <c r="E6" s="2" t="s">
        <v>134</v>
      </c>
      <c r="F6" s="2" t="s">
        <v>111</v>
      </c>
      <c r="G6" s="2">
        <v>0</v>
      </c>
      <c r="H6" s="2" t="s">
        <v>2178</v>
      </c>
      <c r="I6" s="2" t="s">
        <v>2178</v>
      </c>
      <c r="J6" s="2" t="s">
        <v>2178</v>
      </c>
      <c r="K6" s="2" t="s">
        <v>2178</v>
      </c>
      <c r="L6" s="2" t="s">
        <v>2179</v>
      </c>
      <c r="M6" s="2" t="s">
        <v>2180</v>
      </c>
      <c r="N6" s="2" t="s">
        <v>109</v>
      </c>
      <c r="O6" s="2" t="s">
        <v>2181</v>
      </c>
    </row>
    <row r="7" spans="1:15" ht="28.5">
      <c r="A7" s="2" t="s">
        <v>135</v>
      </c>
      <c r="B7" s="2" t="s">
        <v>96</v>
      </c>
      <c r="C7" s="2" t="s">
        <v>97</v>
      </c>
      <c r="D7" s="2" t="s">
        <v>136</v>
      </c>
      <c r="E7" s="2" t="s">
        <v>138</v>
      </c>
      <c r="F7" s="2" t="s">
        <v>111</v>
      </c>
      <c r="G7" s="2">
        <v>0</v>
      </c>
      <c r="H7" s="2" t="s">
        <v>2178</v>
      </c>
      <c r="I7" s="2" t="s">
        <v>2178</v>
      </c>
      <c r="J7" s="2" t="s">
        <v>2178</v>
      </c>
      <c r="K7" s="2" t="s">
        <v>2178</v>
      </c>
      <c r="L7" s="2" t="s">
        <v>2179</v>
      </c>
      <c r="M7" s="2" t="s">
        <v>2180</v>
      </c>
      <c r="N7" s="2" t="s">
        <v>109</v>
      </c>
      <c r="O7" s="2" t="s">
        <v>2181</v>
      </c>
    </row>
    <row r="8" spans="1:15" ht="28.5">
      <c r="A8" s="2" t="s">
        <v>140</v>
      </c>
      <c r="B8" s="2" t="s">
        <v>96</v>
      </c>
      <c r="C8" s="2" t="s">
        <v>97</v>
      </c>
      <c r="D8" s="2" t="s">
        <v>141</v>
      </c>
      <c r="E8" s="2" t="s">
        <v>144</v>
      </c>
      <c r="F8" s="2" t="s">
        <v>111</v>
      </c>
      <c r="G8" s="2">
        <v>0</v>
      </c>
      <c r="H8" s="2" t="s">
        <v>2178</v>
      </c>
      <c r="I8" s="2" t="s">
        <v>2178</v>
      </c>
      <c r="J8" s="2" t="s">
        <v>2178</v>
      </c>
      <c r="K8" s="2" t="s">
        <v>2178</v>
      </c>
      <c r="L8" s="2" t="s">
        <v>2179</v>
      </c>
      <c r="M8" s="2" t="s">
        <v>2180</v>
      </c>
      <c r="N8" s="2" t="s">
        <v>109</v>
      </c>
      <c r="O8" s="2" t="s">
        <v>2181</v>
      </c>
    </row>
    <row r="9" spans="1:15" ht="28.5">
      <c r="A9" s="2" t="s">
        <v>146</v>
      </c>
      <c r="B9" s="2" t="s">
        <v>96</v>
      </c>
      <c r="C9" s="2" t="s">
        <v>97</v>
      </c>
      <c r="D9" s="2" t="s">
        <v>148</v>
      </c>
      <c r="E9" s="2" t="s">
        <v>152</v>
      </c>
      <c r="F9" s="2" t="s">
        <v>111</v>
      </c>
      <c r="G9" s="2">
        <v>0</v>
      </c>
      <c r="H9" s="2" t="s">
        <v>2178</v>
      </c>
      <c r="I9" s="2" t="s">
        <v>2178</v>
      </c>
      <c r="J9" s="2" t="s">
        <v>2178</v>
      </c>
      <c r="K9" s="2" t="s">
        <v>2178</v>
      </c>
      <c r="L9" s="2" t="s">
        <v>2179</v>
      </c>
      <c r="M9" s="2" t="s">
        <v>2180</v>
      </c>
      <c r="N9" s="2" t="s">
        <v>109</v>
      </c>
      <c r="O9" s="2" t="s">
        <v>2181</v>
      </c>
    </row>
    <row r="10" spans="1:15" ht="28.5">
      <c r="A10" s="2" t="s">
        <v>154</v>
      </c>
      <c r="B10" s="2" t="s">
        <v>96</v>
      </c>
      <c r="C10" s="2" t="s">
        <v>97</v>
      </c>
      <c r="D10" s="2" t="s">
        <v>155</v>
      </c>
      <c r="E10" s="2" t="s">
        <v>158</v>
      </c>
      <c r="F10" s="2" t="s">
        <v>111</v>
      </c>
      <c r="G10" s="2">
        <v>0</v>
      </c>
      <c r="H10" s="2" t="s">
        <v>2178</v>
      </c>
      <c r="I10" s="2" t="s">
        <v>2178</v>
      </c>
      <c r="J10" s="2" t="s">
        <v>2178</v>
      </c>
      <c r="K10" s="2" t="s">
        <v>2178</v>
      </c>
      <c r="L10" s="2" t="s">
        <v>2179</v>
      </c>
      <c r="M10" s="2" t="s">
        <v>2180</v>
      </c>
      <c r="N10" s="2" t="s">
        <v>109</v>
      </c>
      <c r="O10" s="2" t="s">
        <v>2181</v>
      </c>
    </row>
    <row r="11" spans="1:15" ht="28.5">
      <c r="A11" s="2" t="s">
        <v>160</v>
      </c>
      <c r="B11" s="2" t="s">
        <v>96</v>
      </c>
      <c r="C11" s="2" t="s">
        <v>97</v>
      </c>
      <c r="D11" s="2" t="s">
        <v>161</v>
      </c>
      <c r="E11" s="2" t="s">
        <v>163</v>
      </c>
      <c r="F11" s="2" t="s">
        <v>111</v>
      </c>
      <c r="G11" s="2">
        <v>0</v>
      </c>
      <c r="H11" s="2" t="s">
        <v>2178</v>
      </c>
      <c r="I11" s="2" t="s">
        <v>2178</v>
      </c>
      <c r="J11" s="2" t="s">
        <v>2178</v>
      </c>
      <c r="K11" s="2" t="s">
        <v>2178</v>
      </c>
      <c r="L11" s="2" t="s">
        <v>2179</v>
      </c>
      <c r="M11" s="2" t="s">
        <v>2180</v>
      </c>
      <c r="N11" s="2" t="s">
        <v>109</v>
      </c>
      <c r="O11" s="2" t="s">
        <v>2181</v>
      </c>
    </row>
    <row r="12" spans="1:15" ht="28.5">
      <c r="A12" s="2" t="s">
        <v>165</v>
      </c>
      <c r="B12" s="2" t="s">
        <v>96</v>
      </c>
      <c r="C12" s="2" t="s">
        <v>97</v>
      </c>
      <c r="D12" s="2" t="s">
        <v>166</v>
      </c>
      <c r="E12" s="2" t="s">
        <v>168</v>
      </c>
      <c r="F12" s="2" t="s">
        <v>111</v>
      </c>
      <c r="G12" s="2">
        <v>0</v>
      </c>
      <c r="H12" s="2" t="s">
        <v>2178</v>
      </c>
      <c r="I12" s="2" t="s">
        <v>2178</v>
      </c>
      <c r="J12" s="2" t="s">
        <v>2178</v>
      </c>
      <c r="K12" s="2" t="s">
        <v>2178</v>
      </c>
      <c r="L12" s="2" t="s">
        <v>2179</v>
      </c>
      <c r="M12" s="2" t="s">
        <v>2180</v>
      </c>
      <c r="N12" s="2" t="s">
        <v>109</v>
      </c>
      <c r="O12" s="2" t="s">
        <v>2181</v>
      </c>
    </row>
    <row r="13" spans="1:15" ht="28.5">
      <c r="A13" s="2" t="s">
        <v>170</v>
      </c>
      <c r="B13" s="2" t="s">
        <v>96</v>
      </c>
      <c r="C13" s="2" t="s">
        <v>97</v>
      </c>
      <c r="D13" s="2" t="s">
        <v>172</v>
      </c>
      <c r="E13" s="2" t="s">
        <v>174</v>
      </c>
      <c r="F13" s="2" t="s">
        <v>111</v>
      </c>
      <c r="G13" s="2">
        <v>0</v>
      </c>
      <c r="H13" s="2" t="s">
        <v>2178</v>
      </c>
      <c r="I13" s="2" t="s">
        <v>2178</v>
      </c>
      <c r="J13" s="2" t="s">
        <v>2178</v>
      </c>
      <c r="K13" s="2" t="s">
        <v>2178</v>
      </c>
      <c r="L13" s="2" t="s">
        <v>2179</v>
      </c>
      <c r="M13" s="2" t="s">
        <v>2180</v>
      </c>
      <c r="N13" s="2" t="s">
        <v>109</v>
      </c>
      <c r="O13" s="2" t="s">
        <v>2181</v>
      </c>
    </row>
    <row r="14" spans="1:15" ht="28.5">
      <c r="A14" s="2" t="s">
        <v>176</v>
      </c>
      <c r="B14" s="2" t="s">
        <v>96</v>
      </c>
      <c r="C14" s="2" t="s">
        <v>97</v>
      </c>
      <c r="D14" s="2" t="s">
        <v>177</v>
      </c>
      <c r="E14" s="2" t="s">
        <v>180</v>
      </c>
      <c r="F14" s="2" t="s">
        <v>111</v>
      </c>
      <c r="G14" s="2">
        <v>0</v>
      </c>
      <c r="H14" s="2" t="s">
        <v>2178</v>
      </c>
      <c r="I14" s="2" t="s">
        <v>2178</v>
      </c>
      <c r="J14" s="2" t="s">
        <v>2178</v>
      </c>
      <c r="K14" s="2" t="s">
        <v>2178</v>
      </c>
      <c r="L14" s="2" t="s">
        <v>2179</v>
      </c>
      <c r="M14" s="2" t="s">
        <v>2180</v>
      </c>
      <c r="N14" s="2" t="s">
        <v>109</v>
      </c>
      <c r="O14" s="2" t="s">
        <v>2181</v>
      </c>
    </row>
    <row r="15" spans="1:15" ht="28.5">
      <c r="A15" s="2" t="s">
        <v>182</v>
      </c>
      <c r="B15" s="2" t="s">
        <v>96</v>
      </c>
      <c r="C15" s="2" t="s">
        <v>97</v>
      </c>
      <c r="D15" s="2" t="s">
        <v>183</v>
      </c>
      <c r="E15" s="2" t="s">
        <v>185</v>
      </c>
      <c r="F15" s="2" t="s">
        <v>111</v>
      </c>
      <c r="G15" s="2">
        <v>0</v>
      </c>
      <c r="H15" s="2" t="s">
        <v>2178</v>
      </c>
      <c r="I15" s="2" t="s">
        <v>2178</v>
      </c>
      <c r="J15" s="2" t="s">
        <v>2178</v>
      </c>
      <c r="K15" s="2" t="s">
        <v>2178</v>
      </c>
      <c r="L15" s="2" t="s">
        <v>2179</v>
      </c>
      <c r="M15" s="2" t="s">
        <v>2180</v>
      </c>
      <c r="N15" s="2" t="s">
        <v>109</v>
      </c>
      <c r="O15" s="2" t="s">
        <v>2181</v>
      </c>
    </row>
    <row r="16" spans="1:15" ht="28.5">
      <c r="A16" s="2" t="s">
        <v>187</v>
      </c>
      <c r="B16" s="2" t="s">
        <v>96</v>
      </c>
      <c r="C16" s="2" t="s">
        <v>97</v>
      </c>
      <c r="D16" s="2" t="s">
        <v>188</v>
      </c>
      <c r="E16" s="2" t="s">
        <v>191</v>
      </c>
      <c r="F16" s="2" t="s">
        <v>111</v>
      </c>
      <c r="G16" s="2">
        <v>0</v>
      </c>
      <c r="H16" s="2" t="s">
        <v>2178</v>
      </c>
      <c r="I16" s="2" t="s">
        <v>2178</v>
      </c>
      <c r="J16" s="2" t="s">
        <v>2178</v>
      </c>
      <c r="K16" s="2" t="s">
        <v>2178</v>
      </c>
      <c r="L16" s="2" t="s">
        <v>2179</v>
      </c>
      <c r="M16" s="2" t="s">
        <v>2180</v>
      </c>
      <c r="N16" s="2" t="s">
        <v>109</v>
      </c>
      <c r="O16" s="2" t="s">
        <v>2181</v>
      </c>
    </row>
    <row r="17" spans="1:15" ht="28.5">
      <c r="A17" s="2" t="s">
        <v>193</v>
      </c>
      <c r="B17" s="2" t="s">
        <v>96</v>
      </c>
      <c r="C17" s="2" t="s">
        <v>97</v>
      </c>
      <c r="D17" s="2" t="s">
        <v>194</v>
      </c>
      <c r="E17" s="2" t="s">
        <v>196</v>
      </c>
      <c r="F17" s="2" t="s">
        <v>111</v>
      </c>
      <c r="G17" s="2">
        <v>0</v>
      </c>
      <c r="H17" s="2" t="s">
        <v>2178</v>
      </c>
      <c r="I17" s="2" t="s">
        <v>2178</v>
      </c>
      <c r="J17" s="2" t="s">
        <v>2178</v>
      </c>
      <c r="K17" s="2" t="s">
        <v>2178</v>
      </c>
      <c r="L17" s="2" t="s">
        <v>2179</v>
      </c>
      <c r="M17" s="2" t="s">
        <v>2180</v>
      </c>
      <c r="N17" s="2" t="s">
        <v>109</v>
      </c>
      <c r="O17" s="2" t="s">
        <v>2181</v>
      </c>
    </row>
    <row r="18" spans="1:15" ht="28.5">
      <c r="A18" s="2" t="s">
        <v>198</v>
      </c>
      <c r="B18" s="2" t="s">
        <v>96</v>
      </c>
      <c r="C18" s="2" t="s">
        <v>97</v>
      </c>
      <c r="D18" s="2" t="s">
        <v>199</v>
      </c>
      <c r="E18" s="2" t="s">
        <v>201</v>
      </c>
      <c r="F18" s="2" t="s">
        <v>111</v>
      </c>
      <c r="G18" s="2">
        <v>0</v>
      </c>
      <c r="H18" s="2" t="s">
        <v>2178</v>
      </c>
      <c r="I18" s="2" t="s">
        <v>2178</v>
      </c>
      <c r="J18" s="2" t="s">
        <v>2178</v>
      </c>
      <c r="K18" s="2" t="s">
        <v>2178</v>
      </c>
      <c r="L18" s="2" t="s">
        <v>2179</v>
      </c>
      <c r="M18" s="2" t="s">
        <v>2180</v>
      </c>
      <c r="N18" s="2" t="s">
        <v>109</v>
      </c>
      <c r="O18" s="2" t="s">
        <v>2181</v>
      </c>
    </row>
    <row r="19" spans="1:15" ht="28.5">
      <c r="A19" s="2" t="s">
        <v>203</v>
      </c>
      <c r="B19" s="2" t="s">
        <v>96</v>
      </c>
      <c r="C19" s="2" t="s">
        <v>97</v>
      </c>
      <c r="D19" s="2" t="s">
        <v>204</v>
      </c>
      <c r="E19" s="2" t="s">
        <v>206</v>
      </c>
      <c r="F19" s="2" t="s">
        <v>111</v>
      </c>
      <c r="G19" s="2">
        <v>0</v>
      </c>
      <c r="H19" s="2" t="s">
        <v>2178</v>
      </c>
      <c r="I19" s="2" t="s">
        <v>2178</v>
      </c>
      <c r="J19" s="2" t="s">
        <v>2178</v>
      </c>
      <c r="K19" s="2" t="s">
        <v>2178</v>
      </c>
      <c r="L19" s="2" t="s">
        <v>2179</v>
      </c>
      <c r="M19" s="2" t="s">
        <v>2180</v>
      </c>
      <c r="N19" s="2" t="s">
        <v>109</v>
      </c>
      <c r="O19" s="2" t="s">
        <v>2181</v>
      </c>
    </row>
    <row r="20" spans="1:15" ht="28.5">
      <c r="A20" s="2" t="s">
        <v>208</v>
      </c>
      <c r="B20" s="2" t="s">
        <v>96</v>
      </c>
      <c r="C20" s="2" t="s">
        <v>97</v>
      </c>
      <c r="D20" s="2" t="s">
        <v>209</v>
      </c>
      <c r="E20" s="2" t="s">
        <v>211</v>
      </c>
      <c r="F20" s="2" t="s">
        <v>111</v>
      </c>
      <c r="G20" s="2">
        <v>0</v>
      </c>
      <c r="H20" s="2" t="s">
        <v>2178</v>
      </c>
      <c r="I20" s="2" t="s">
        <v>2178</v>
      </c>
      <c r="J20" s="2" t="s">
        <v>2178</v>
      </c>
      <c r="K20" s="2" t="s">
        <v>2178</v>
      </c>
      <c r="L20" s="2" t="s">
        <v>2179</v>
      </c>
      <c r="M20" s="2" t="s">
        <v>2180</v>
      </c>
      <c r="N20" s="2" t="s">
        <v>109</v>
      </c>
      <c r="O20" s="2" t="s">
        <v>2181</v>
      </c>
    </row>
    <row r="21" spans="1:15" ht="28.5">
      <c r="A21" s="2" t="s">
        <v>213</v>
      </c>
      <c r="B21" s="2" t="s">
        <v>96</v>
      </c>
      <c r="C21" s="2" t="s">
        <v>97</v>
      </c>
      <c r="D21" s="2" t="s">
        <v>214</v>
      </c>
      <c r="E21" s="2" t="s">
        <v>216</v>
      </c>
      <c r="F21" s="2" t="s">
        <v>111</v>
      </c>
      <c r="G21" s="2">
        <v>0</v>
      </c>
      <c r="H21" s="2" t="s">
        <v>2178</v>
      </c>
      <c r="I21" s="2" t="s">
        <v>2178</v>
      </c>
      <c r="J21" s="2" t="s">
        <v>2178</v>
      </c>
      <c r="K21" s="2" t="s">
        <v>2178</v>
      </c>
      <c r="L21" s="2" t="s">
        <v>2179</v>
      </c>
      <c r="M21" s="2" t="s">
        <v>2180</v>
      </c>
      <c r="N21" s="2" t="s">
        <v>109</v>
      </c>
      <c r="O21" s="2" t="s">
        <v>2181</v>
      </c>
    </row>
    <row r="22" spans="1:15" ht="28.5">
      <c r="A22" s="2" t="s">
        <v>218</v>
      </c>
      <c r="B22" s="2" t="s">
        <v>96</v>
      </c>
      <c r="C22" s="2" t="s">
        <v>97</v>
      </c>
      <c r="D22" s="2" t="s">
        <v>219</v>
      </c>
      <c r="E22" s="2" t="s">
        <v>222</v>
      </c>
      <c r="F22" s="2" t="s">
        <v>111</v>
      </c>
      <c r="G22" s="2">
        <v>0</v>
      </c>
      <c r="H22" s="2" t="s">
        <v>2178</v>
      </c>
      <c r="I22" s="2" t="s">
        <v>2178</v>
      </c>
      <c r="J22" s="2" t="s">
        <v>2178</v>
      </c>
      <c r="K22" s="2" t="s">
        <v>2178</v>
      </c>
      <c r="L22" s="2" t="s">
        <v>2179</v>
      </c>
      <c r="M22" s="2" t="s">
        <v>2180</v>
      </c>
      <c r="N22" s="2" t="s">
        <v>109</v>
      </c>
      <c r="O22" s="2" t="s">
        <v>2181</v>
      </c>
    </row>
    <row r="23" spans="1:15" ht="28.5">
      <c r="A23" s="2" t="s">
        <v>224</v>
      </c>
      <c r="B23" s="2" t="s">
        <v>96</v>
      </c>
      <c r="C23" s="2" t="s">
        <v>97</v>
      </c>
      <c r="D23" s="2" t="s">
        <v>225</v>
      </c>
      <c r="E23" s="2" t="s">
        <v>228</v>
      </c>
      <c r="F23" s="2" t="s">
        <v>111</v>
      </c>
      <c r="G23" s="2">
        <v>0</v>
      </c>
      <c r="H23" s="2" t="s">
        <v>2178</v>
      </c>
      <c r="I23" s="2" t="s">
        <v>2178</v>
      </c>
      <c r="J23" s="2" t="s">
        <v>2178</v>
      </c>
      <c r="K23" s="2" t="s">
        <v>2178</v>
      </c>
      <c r="L23" s="2" t="s">
        <v>2179</v>
      </c>
      <c r="M23" s="2" t="s">
        <v>2180</v>
      </c>
      <c r="N23" s="2" t="s">
        <v>109</v>
      </c>
      <c r="O23" s="2" t="s">
        <v>2181</v>
      </c>
    </row>
    <row r="24" spans="1:15" ht="28.5">
      <c r="A24" s="2" t="s">
        <v>230</v>
      </c>
      <c r="B24" s="2" t="s">
        <v>96</v>
      </c>
      <c r="C24" s="2" t="s">
        <v>97</v>
      </c>
      <c r="D24" s="2" t="s">
        <v>231</v>
      </c>
      <c r="E24" s="2" t="s">
        <v>233</v>
      </c>
      <c r="F24" s="2" t="s">
        <v>111</v>
      </c>
      <c r="G24" s="2">
        <v>0</v>
      </c>
      <c r="H24" s="2" t="s">
        <v>2178</v>
      </c>
      <c r="I24" s="2" t="s">
        <v>2178</v>
      </c>
      <c r="J24" s="2" t="s">
        <v>2178</v>
      </c>
      <c r="K24" s="2" t="s">
        <v>2178</v>
      </c>
      <c r="L24" s="2" t="s">
        <v>2179</v>
      </c>
      <c r="M24" s="2" t="s">
        <v>2180</v>
      </c>
      <c r="N24" s="2" t="s">
        <v>109</v>
      </c>
      <c r="O24" s="2" t="s">
        <v>2181</v>
      </c>
    </row>
    <row r="25" spans="1:15" ht="28.5">
      <c r="A25" s="2" t="s">
        <v>235</v>
      </c>
      <c r="B25" s="2" t="s">
        <v>96</v>
      </c>
      <c r="C25" s="2" t="s">
        <v>97</v>
      </c>
      <c r="D25" s="2" t="s">
        <v>236</v>
      </c>
      <c r="E25" s="2" t="s">
        <v>238</v>
      </c>
      <c r="F25" s="2" t="s">
        <v>111</v>
      </c>
      <c r="G25" s="2">
        <v>0</v>
      </c>
      <c r="H25" s="2" t="s">
        <v>2178</v>
      </c>
      <c r="I25" s="2" t="s">
        <v>2178</v>
      </c>
      <c r="J25" s="2" t="s">
        <v>2178</v>
      </c>
      <c r="K25" s="2" t="s">
        <v>2178</v>
      </c>
      <c r="L25" s="2" t="s">
        <v>2179</v>
      </c>
      <c r="M25" s="2" t="s">
        <v>2180</v>
      </c>
      <c r="N25" s="2" t="s">
        <v>109</v>
      </c>
      <c r="O25" s="2" t="s">
        <v>2181</v>
      </c>
    </row>
    <row r="26" spans="1:15" ht="28.5">
      <c r="A26" s="2" t="s">
        <v>240</v>
      </c>
      <c r="B26" s="2" t="s">
        <v>96</v>
      </c>
      <c r="C26" s="2" t="s">
        <v>97</v>
      </c>
      <c r="D26" s="2" t="s">
        <v>241</v>
      </c>
      <c r="E26" s="2" t="s">
        <v>243</v>
      </c>
      <c r="F26" s="2" t="s">
        <v>111</v>
      </c>
      <c r="G26" s="2">
        <v>0</v>
      </c>
      <c r="H26" s="2" t="s">
        <v>2178</v>
      </c>
      <c r="I26" s="2" t="s">
        <v>2178</v>
      </c>
      <c r="J26" s="2" t="s">
        <v>2178</v>
      </c>
      <c r="K26" s="2" t="s">
        <v>2178</v>
      </c>
      <c r="L26" s="2" t="s">
        <v>2179</v>
      </c>
      <c r="M26" s="2" t="s">
        <v>2180</v>
      </c>
      <c r="N26" s="2" t="s">
        <v>109</v>
      </c>
      <c r="O26" s="2" t="s">
        <v>2181</v>
      </c>
    </row>
    <row r="27" spans="1:15" ht="28.5">
      <c r="A27" s="2" t="s">
        <v>245</v>
      </c>
      <c r="B27" s="2" t="s">
        <v>96</v>
      </c>
      <c r="C27" s="2" t="s">
        <v>97</v>
      </c>
      <c r="D27" s="2" t="s">
        <v>248</v>
      </c>
      <c r="E27" s="2" t="s">
        <v>254</v>
      </c>
      <c r="F27" s="2" t="s">
        <v>255</v>
      </c>
      <c r="G27" s="2">
        <v>0</v>
      </c>
      <c r="H27" s="2" t="s">
        <v>2178</v>
      </c>
      <c r="I27" s="2" t="s">
        <v>2178</v>
      </c>
      <c r="J27" s="2" t="s">
        <v>2178</v>
      </c>
      <c r="K27" s="2" t="s">
        <v>2178</v>
      </c>
      <c r="L27" s="2" t="s">
        <v>2179</v>
      </c>
      <c r="M27" s="2" t="s">
        <v>2180</v>
      </c>
      <c r="N27" s="2" t="s">
        <v>109</v>
      </c>
      <c r="O27" s="2" t="s">
        <v>2181</v>
      </c>
    </row>
    <row r="28" spans="1:15" ht="28.5">
      <c r="A28" s="2" t="s">
        <v>257</v>
      </c>
      <c r="B28" s="2" t="s">
        <v>96</v>
      </c>
      <c r="C28" s="2" t="s">
        <v>97</v>
      </c>
      <c r="D28" s="2" t="s">
        <v>258</v>
      </c>
      <c r="E28" s="2" t="s">
        <v>261</v>
      </c>
      <c r="F28" s="2" t="s">
        <v>255</v>
      </c>
      <c r="G28" s="2">
        <v>0</v>
      </c>
      <c r="H28" s="2" t="s">
        <v>2178</v>
      </c>
      <c r="I28" s="2" t="s">
        <v>2178</v>
      </c>
      <c r="J28" s="2" t="s">
        <v>2178</v>
      </c>
      <c r="K28" s="2" t="s">
        <v>2178</v>
      </c>
      <c r="L28" s="2" t="s">
        <v>2179</v>
      </c>
      <c r="M28" s="2" t="s">
        <v>2180</v>
      </c>
      <c r="N28" s="2" t="s">
        <v>109</v>
      </c>
      <c r="O28" s="2" t="s">
        <v>2181</v>
      </c>
    </row>
    <row r="29" spans="1:15" ht="28.5">
      <c r="A29" s="2" t="s">
        <v>263</v>
      </c>
      <c r="B29" s="2" t="s">
        <v>96</v>
      </c>
      <c r="C29" s="2" t="s">
        <v>97</v>
      </c>
      <c r="D29" s="2" t="s">
        <v>265</v>
      </c>
      <c r="E29" s="2" t="s">
        <v>267</v>
      </c>
      <c r="F29" s="2" t="s">
        <v>255</v>
      </c>
      <c r="G29" s="2">
        <v>0</v>
      </c>
      <c r="H29" s="2" t="s">
        <v>2178</v>
      </c>
      <c r="I29" s="2" t="s">
        <v>2178</v>
      </c>
      <c r="J29" s="2" t="s">
        <v>2178</v>
      </c>
      <c r="K29" s="2" t="s">
        <v>2178</v>
      </c>
      <c r="L29" s="2" t="s">
        <v>2179</v>
      </c>
      <c r="M29" s="2" t="s">
        <v>2180</v>
      </c>
      <c r="N29" s="2" t="s">
        <v>109</v>
      </c>
      <c r="O29" s="2" t="s">
        <v>2181</v>
      </c>
    </row>
    <row r="30" spans="1:15" ht="28.5">
      <c r="A30" s="2" t="s">
        <v>269</v>
      </c>
      <c r="B30" s="2" t="s">
        <v>96</v>
      </c>
      <c r="C30" s="2" t="s">
        <v>97</v>
      </c>
      <c r="D30" s="2" t="s">
        <v>270</v>
      </c>
      <c r="E30" s="2" t="s">
        <v>273</v>
      </c>
      <c r="F30" s="2" t="s">
        <v>255</v>
      </c>
      <c r="G30" s="2">
        <v>0</v>
      </c>
      <c r="H30" s="2" t="s">
        <v>2178</v>
      </c>
      <c r="I30" s="2" t="s">
        <v>2178</v>
      </c>
      <c r="J30" s="2" t="s">
        <v>2178</v>
      </c>
      <c r="K30" s="2" t="s">
        <v>2178</v>
      </c>
      <c r="L30" s="2" t="s">
        <v>2179</v>
      </c>
      <c r="M30" s="2" t="s">
        <v>2180</v>
      </c>
      <c r="N30" s="2" t="s">
        <v>109</v>
      </c>
      <c r="O30" s="2" t="s">
        <v>2181</v>
      </c>
    </row>
    <row r="31" spans="1:15" ht="28.5">
      <c r="A31" s="2" t="s">
        <v>274</v>
      </c>
      <c r="B31" s="2" t="s">
        <v>96</v>
      </c>
      <c r="C31" s="2" t="s">
        <v>97</v>
      </c>
      <c r="D31" s="2" t="s">
        <v>275</v>
      </c>
      <c r="E31" s="2" t="s">
        <v>278</v>
      </c>
      <c r="F31" s="2" t="s">
        <v>255</v>
      </c>
      <c r="G31" s="2">
        <v>0</v>
      </c>
      <c r="H31" s="2" t="s">
        <v>2178</v>
      </c>
      <c r="I31" s="2" t="s">
        <v>2178</v>
      </c>
      <c r="J31" s="2" t="s">
        <v>2178</v>
      </c>
      <c r="K31" s="2" t="s">
        <v>2178</v>
      </c>
      <c r="L31" s="2" t="s">
        <v>2179</v>
      </c>
      <c r="M31" s="2" t="s">
        <v>2180</v>
      </c>
      <c r="N31" s="2" t="s">
        <v>109</v>
      </c>
      <c r="O31" s="2" t="s">
        <v>2181</v>
      </c>
    </row>
    <row r="32" spans="1:15" ht="28.5">
      <c r="A32" s="2" t="s">
        <v>280</v>
      </c>
      <c r="B32" s="2" t="s">
        <v>96</v>
      </c>
      <c r="C32" s="2" t="s">
        <v>97</v>
      </c>
      <c r="D32" s="2" t="s">
        <v>281</v>
      </c>
      <c r="E32" s="2" t="s">
        <v>283</v>
      </c>
      <c r="F32" s="2" t="s">
        <v>255</v>
      </c>
      <c r="G32" s="2">
        <v>0</v>
      </c>
      <c r="H32" s="2" t="s">
        <v>2178</v>
      </c>
      <c r="I32" s="2" t="s">
        <v>2178</v>
      </c>
      <c r="J32" s="2" t="s">
        <v>2178</v>
      </c>
      <c r="K32" s="2" t="s">
        <v>2178</v>
      </c>
      <c r="L32" s="2" t="s">
        <v>2179</v>
      </c>
      <c r="M32" s="2" t="s">
        <v>2180</v>
      </c>
      <c r="N32" s="2" t="s">
        <v>109</v>
      </c>
      <c r="O32" s="2" t="s">
        <v>2181</v>
      </c>
    </row>
    <row r="33" spans="1:15" ht="28.5">
      <c r="A33" s="2" t="s">
        <v>284</v>
      </c>
      <c r="B33" s="2" t="s">
        <v>96</v>
      </c>
      <c r="C33" s="2" t="s">
        <v>97</v>
      </c>
      <c r="D33" s="2" t="s">
        <v>285</v>
      </c>
      <c r="E33" s="2" t="s">
        <v>287</v>
      </c>
      <c r="F33" s="2" t="s">
        <v>255</v>
      </c>
      <c r="G33" s="2">
        <v>0</v>
      </c>
      <c r="H33" s="2" t="s">
        <v>2178</v>
      </c>
      <c r="I33" s="2" t="s">
        <v>2178</v>
      </c>
      <c r="J33" s="2" t="s">
        <v>2178</v>
      </c>
      <c r="K33" s="2" t="s">
        <v>2178</v>
      </c>
      <c r="L33" s="2" t="s">
        <v>2179</v>
      </c>
      <c r="M33" s="2" t="s">
        <v>2180</v>
      </c>
      <c r="N33" s="2" t="s">
        <v>109</v>
      </c>
      <c r="O33" s="2" t="s">
        <v>2181</v>
      </c>
    </row>
    <row r="34" spans="1:15" ht="28.5">
      <c r="A34" s="2" t="s">
        <v>289</v>
      </c>
      <c r="B34" s="2" t="s">
        <v>96</v>
      </c>
      <c r="C34" s="2" t="s">
        <v>97</v>
      </c>
      <c r="D34" s="2" t="s">
        <v>290</v>
      </c>
      <c r="E34" s="2" t="s">
        <v>294</v>
      </c>
      <c r="F34" s="2" t="s">
        <v>255</v>
      </c>
      <c r="G34" s="2">
        <v>0</v>
      </c>
      <c r="H34" s="2" t="s">
        <v>2178</v>
      </c>
      <c r="I34" s="2" t="s">
        <v>2178</v>
      </c>
      <c r="J34" s="2" t="s">
        <v>2178</v>
      </c>
      <c r="K34" s="2" t="s">
        <v>2178</v>
      </c>
      <c r="L34" s="2" t="s">
        <v>2179</v>
      </c>
      <c r="M34" s="2" t="s">
        <v>2180</v>
      </c>
      <c r="N34" s="2" t="s">
        <v>109</v>
      </c>
      <c r="O34" s="2" t="s">
        <v>2181</v>
      </c>
    </row>
    <row r="35" spans="1:15" ht="28.5">
      <c r="A35" s="2" t="s">
        <v>296</v>
      </c>
      <c r="B35" s="2" t="s">
        <v>96</v>
      </c>
      <c r="C35" s="2" t="s">
        <v>97</v>
      </c>
      <c r="D35" s="2" t="s">
        <v>298</v>
      </c>
      <c r="E35" s="2" t="s">
        <v>302</v>
      </c>
      <c r="F35" s="2" t="s">
        <v>255</v>
      </c>
      <c r="G35" s="2">
        <v>0</v>
      </c>
      <c r="H35" s="2" t="s">
        <v>2178</v>
      </c>
      <c r="I35" s="2" t="s">
        <v>2178</v>
      </c>
      <c r="J35" s="2" t="s">
        <v>2178</v>
      </c>
      <c r="K35" s="2" t="s">
        <v>2178</v>
      </c>
      <c r="L35" s="2" t="s">
        <v>2179</v>
      </c>
      <c r="M35" s="2" t="s">
        <v>2180</v>
      </c>
      <c r="N35" s="2" t="s">
        <v>109</v>
      </c>
      <c r="O35" s="2" t="s">
        <v>2181</v>
      </c>
    </row>
    <row r="36" spans="1:15" ht="28.5">
      <c r="A36" s="2" t="s">
        <v>304</v>
      </c>
      <c r="B36" s="2" t="s">
        <v>96</v>
      </c>
      <c r="C36" s="2" t="s">
        <v>97</v>
      </c>
      <c r="D36" s="2" t="s">
        <v>306</v>
      </c>
      <c r="E36" s="2" t="s">
        <v>310</v>
      </c>
      <c r="F36" s="2" t="s">
        <v>255</v>
      </c>
      <c r="G36" s="2">
        <v>0</v>
      </c>
      <c r="H36" s="2" t="s">
        <v>2178</v>
      </c>
      <c r="I36" s="2" t="s">
        <v>2178</v>
      </c>
      <c r="J36" s="2" t="s">
        <v>2178</v>
      </c>
      <c r="K36" s="2" t="s">
        <v>2178</v>
      </c>
      <c r="L36" s="2" t="s">
        <v>2179</v>
      </c>
      <c r="M36" s="2" t="s">
        <v>2180</v>
      </c>
      <c r="N36" s="2" t="s">
        <v>109</v>
      </c>
      <c r="O36" s="2" t="s">
        <v>2181</v>
      </c>
    </row>
    <row r="37" spans="1:15" ht="28.5">
      <c r="A37" s="2" t="s">
        <v>312</v>
      </c>
      <c r="B37" s="2" t="s">
        <v>96</v>
      </c>
      <c r="C37" s="2" t="s">
        <v>97</v>
      </c>
      <c r="D37" s="2" t="s">
        <v>313</v>
      </c>
      <c r="E37" s="2" t="s">
        <v>316</v>
      </c>
      <c r="F37" s="2" t="s">
        <v>255</v>
      </c>
      <c r="G37" s="2">
        <v>0</v>
      </c>
      <c r="H37" s="2" t="s">
        <v>2178</v>
      </c>
      <c r="I37" s="2" t="s">
        <v>2178</v>
      </c>
      <c r="J37" s="2" t="s">
        <v>2178</v>
      </c>
      <c r="K37" s="2" t="s">
        <v>2178</v>
      </c>
      <c r="L37" s="2" t="s">
        <v>2179</v>
      </c>
      <c r="M37" s="2" t="s">
        <v>2180</v>
      </c>
      <c r="N37" s="2" t="s">
        <v>109</v>
      </c>
      <c r="O37" s="2" t="s">
        <v>2181</v>
      </c>
    </row>
    <row r="38" spans="1:15" ht="28.5">
      <c r="A38" s="2" t="s">
        <v>318</v>
      </c>
      <c r="B38" s="2" t="s">
        <v>96</v>
      </c>
      <c r="C38" s="2" t="s">
        <v>97</v>
      </c>
      <c r="D38" s="2" t="s">
        <v>319</v>
      </c>
      <c r="E38" s="2" t="s">
        <v>322</v>
      </c>
      <c r="F38" s="2" t="s">
        <v>255</v>
      </c>
      <c r="G38" s="2">
        <v>0</v>
      </c>
      <c r="H38" s="2" t="s">
        <v>2178</v>
      </c>
      <c r="I38" s="2" t="s">
        <v>2178</v>
      </c>
      <c r="J38" s="2" t="s">
        <v>2178</v>
      </c>
      <c r="K38" s="2" t="s">
        <v>2178</v>
      </c>
      <c r="L38" s="2" t="s">
        <v>2179</v>
      </c>
      <c r="M38" s="2" t="s">
        <v>2180</v>
      </c>
      <c r="N38" s="2" t="s">
        <v>109</v>
      </c>
      <c r="O38" s="2" t="s">
        <v>2181</v>
      </c>
    </row>
    <row r="39" spans="1:15" ht="28.5">
      <c r="A39" s="2" t="s">
        <v>324</v>
      </c>
      <c r="B39" s="2" t="s">
        <v>96</v>
      </c>
      <c r="C39" s="2" t="s">
        <v>97</v>
      </c>
      <c r="D39" s="2" t="s">
        <v>325</v>
      </c>
      <c r="E39" s="2" t="s">
        <v>328</v>
      </c>
      <c r="F39" s="2" t="s">
        <v>255</v>
      </c>
      <c r="G39" s="2">
        <v>0</v>
      </c>
      <c r="H39" s="2" t="s">
        <v>2178</v>
      </c>
      <c r="I39" s="2" t="s">
        <v>2178</v>
      </c>
      <c r="J39" s="2" t="s">
        <v>2178</v>
      </c>
      <c r="K39" s="2" t="s">
        <v>2178</v>
      </c>
      <c r="L39" s="2" t="s">
        <v>2179</v>
      </c>
      <c r="M39" s="2" t="s">
        <v>2180</v>
      </c>
      <c r="N39" s="2" t="s">
        <v>109</v>
      </c>
      <c r="O39" s="2" t="s">
        <v>2181</v>
      </c>
    </row>
    <row r="40" spans="1:15" ht="28.5">
      <c r="A40" s="2" t="s">
        <v>330</v>
      </c>
      <c r="B40" s="2" t="s">
        <v>96</v>
      </c>
      <c r="C40" s="2" t="s">
        <v>331</v>
      </c>
      <c r="D40" s="2" t="s">
        <v>334</v>
      </c>
      <c r="E40" s="2" t="s">
        <v>337</v>
      </c>
      <c r="F40" s="2" t="s">
        <v>338</v>
      </c>
      <c r="G40" s="2">
        <v>0</v>
      </c>
      <c r="H40" s="2" t="s">
        <v>2178</v>
      </c>
      <c r="I40" s="2" t="s">
        <v>2178</v>
      </c>
      <c r="J40" s="2" t="s">
        <v>2178</v>
      </c>
      <c r="K40" s="2" t="s">
        <v>2178</v>
      </c>
      <c r="L40" s="2" t="s">
        <v>2182</v>
      </c>
      <c r="M40" s="2" t="s">
        <v>2180</v>
      </c>
      <c r="N40" s="2" t="s">
        <v>109</v>
      </c>
      <c r="O40" s="2" t="s">
        <v>2181</v>
      </c>
    </row>
    <row r="41" spans="1:15" ht="28.5">
      <c r="A41" s="2" t="s">
        <v>340</v>
      </c>
      <c r="B41" s="2" t="s">
        <v>96</v>
      </c>
      <c r="C41" s="2" t="s">
        <v>331</v>
      </c>
      <c r="D41" s="2" t="s">
        <v>342</v>
      </c>
      <c r="E41" s="2" t="s">
        <v>346</v>
      </c>
      <c r="F41" s="2" t="s">
        <v>347</v>
      </c>
      <c r="G41" s="2">
        <v>0</v>
      </c>
      <c r="H41" s="2" t="s">
        <v>2178</v>
      </c>
      <c r="I41" s="2" t="s">
        <v>2178</v>
      </c>
      <c r="J41" s="2" t="s">
        <v>2178</v>
      </c>
      <c r="K41" s="2" t="s">
        <v>2178</v>
      </c>
      <c r="L41" s="2" t="s">
        <v>2182</v>
      </c>
      <c r="M41" s="2" t="s">
        <v>2180</v>
      </c>
      <c r="N41" s="2" t="s">
        <v>109</v>
      </c>
      <c r="O41" s="2" t="s">
        <v>2181</v>
      </c>
    </row>
    <row r="42" spans="1:15" ht="28.5">
      <c r="A42" s="2" t="s">
        <v>349</v>
      </c>
      <c r="B42" s="2" t="s">
        <v>96</v>
      </c>
      <c r="C42" s="2" t="s">
        <v>331</v>
      </c>
      <c r="D42" s="2" t="s">
        <v>350</v>
      </c>
      <c r="E42" s="2" t="s">
        <v>353</v>
      </c>
      <c r="F42" s="2" t="s">
        <v>347</v>
      </c>
      <c r="G42" s="2">
        <v>0</v>
      </c>
      <c r="H42" s="2" t="s">
        <v>2178</v>
      </c>
      <c r="I42" s="2" t="s">
        <v>2178</v>
      </c>
      <c r="J42" s="2" t="s">
        <v>2178</v>
      </c>
      <c r="K42" s="2" t="s">
        <v>2178</v>
      </c>
      <c r="L42" s="2" t="s">
        <v>2182</v>
      </c>
      <c r="M42" s="2" t="s">
        <v>2180</v>
      </c>
      <c r="N42" s="2" t="s">
        <v>109</v>
      </c>
      <c r="O42" s="2" t="s">
        <v>2181</v>
      </c>
    </row>
    <row r="43" spans="1:15" ht="28.5">
      <c r="A43" s="2" t="s">
        <v>355</v>
      </c>
      <c r="B43" s="2" t="s">
        <v>96</v>
      </c>
      <c r="C43" s="2" t="s">
        <v>331</v>
      </c>
      <c r="D43" s="2" t="s">
        <v>357</v>
      </c>
      <c r="E43" s="2" t="s">
        <v>360</v>
      </c>
      <c r="F43" s="2" t="s">
        <v>361</v>
      </c>
      <c r="G43" s="2">
        <v>0</v>
      </c>
      <c r="H43" s="2" t="s">
        <v>2178</v>
      </c>
      <c r="I43" s="2" t="s">
        <v>2178</v>
      </c>
      <c r="J43" s="2" t="s">
        <v>2178</v>
      </c>
      <c r="K43" s="2" t="s">
        <v>2178</v>
      </c>
      <c r="L43" s="2" t="s">
        <v>2182</v>
      </c>
      <c r="M43" s="2" t="s">
        <v>2180</v>
      </c>
      <c r="N43" s="2" t="s">
        <v>109</v>
      </c>
      <c r="O43" s="2" t="s">
        <v>2181</v>
      </c>
    </row>
    <row r="44" spans="1:15" ht="28.5">
      <c r="A44" s="2" t="s">
        <v>363</v>
      </c>
      <c r="B44" s="2" t="s">
        <v>96</v>
      </c>
      <c r="C44" s="2" t="s">
        <v>331</v>
      </c>
      <c r="D44" s="2" t="s">
        <v>364</v>
      </c>
      <c r="E44" s="2" t="s">
        <v>367</v>
      </c>
      <c r="F44" s="2" t="s">
        <v>361</v>
      </c>
      <c r="G44" s="2">
        <v>0</v>
      </c>
      <c r="H44" s="2" t="s">
        <v>2178</v>
      </c>
      <c r="I44" s="2" t="s">
        <v>2178</v>
      </c>
      <c r="J44" s="2" t="s">
        <v>2178</v>
      </c>
      <c r="K44" s="2" t="s">
        <v>2178</v>
      </c>
      <c r="L44" s="2" t="s">
        <v>2182</v>
      </c>
      <c r="M44" s="2" t="s">
        <v>2180</v>
      </c>
      <c r="N44" s="2" t="s">
        <v>109</v>
      </c>
      <c r="O44" s="2" t="s">
        <v>2181</v>
      </c>
    </row>
    <row r="45" spans="1:15" ht="28.5">
      <c r="A45" s="2" t="s">
        <v>369</v>
      </c>
      <c r="B45" s="2" t="s">
        <v>96</v>
      </c>
      <c r="C45" s="2" t="s">
        <v>370</v>
      </c>
      <c r="D45" s="2" t="s">
        <v>373</v>
      </c>
      <c r="E45" s="2" t="s">
        <v>376</v>
      </c>
      <c r="F45" s="2" t="s">
        <v>377</v>
      </c>
      <c r="G45" s="2">
        <v>0</v>
      </c>
      <c r="H45" s="2" t="s">
        <v>2178</v>
      </c>
      <c r="I45" s="2" t="s">
        <v>2178</v>
      </c>
      <c r="J45" s="2" t="s">
        <v>2178</v>
      </c>
      <c r="K45" s="2" t="s">
        <v>2178</v>
      </c>
      <c r="L45" s="2" t="s">
        <v>2179</v>
      </c>
      <c r="M45" s="2" t="s">
        <v>2180</v>
      </c>
      <c r="N45" s="2" t="s">
        <v>109</v>
      </c>
      <c r="O45" s="2" t="s">
        <v>2181</v>
      </c>
    </row>
    <row r="46" spans="1:15" ht="28.5">
      <c r="A46" s="2" t="s">
        <v>379</v>
      </c>
      <c r="B46" s="2" t="s">
        <v>96</v>
      </c>
      <c r="C46" s="2" t="s">
        <v>370</v>
      </c>
      <c r="D46" s="2" t="s">
        <v>380</v>
      </c>
      <c r="E46" s="2" t="s">
        <v>383</v>
      </c>
      <c r="F46" s="2" t="s">
        <v>377</v>
      </c>
      <c r="G46" s="2">
        <v>0</v>
      </c>
      <c r="H46" s="2" t="s">
        <v>2178</v>
      </c>
      <c r="I46" s="2" t="s">
        <v>2178</v>
      </c>
      <c r="J46" s="2" t="s">
        <v>2178</v>
      </c>
      <c r="K46" s="2" t="s">
        <v>2178</v>
      </c>
      <c r="L46" s="2" t="s">
        <v>2179</v>
      </c>
      <c r="M46" s="2" t="s">
        <v>2180</v>
      </c>
      <c r="N46" s="2" t="s">
        <v>109</v>
      </c>
      <c r="O46" s="2" t="s">
        <v>2181</v>
      </c>
    </row>
    <row r="47" spans="1:15" ht="28.5">
      <c r="A47" s="2" t="s">
        <v>385</v>
      </c>
      <c r="B47" s="2" t="s">
        <v>96</v>
      </c>
      <c r="C47" s="2" t="s">
        <v>370</v>
      </c>
      <c r="D47" s="2" t="s">
        <v>386</v>
      </c>
      <c r="E47" s="2" t="s">
        <v>389</v>
      </c>
      <c r="F47" s="2" t="s">
        <v>377</v>
      </c>
      <c r="G47" s="2">
        <v>0</v>
      </c>
      <c r="H47" s="2" t="s">
        <v>2178</v>
      </c>
      <c r="I47" s="2" t="s">
        <v>2178</v>
      </c>
      <c r="J47" s="2" t="s">
        <v>2178</v>
      </c>
      <c r="K47" s="2" t="s">
        <v>2178</v>
      </c>
      <c r="L47" s="2" t="s">
        <v>2179</v>
      </c>
      <c r="M47" s="2" t="s">
        <v>2180</v>
      </c>
      <c r="N47" s="2" t="s">
        <v>109</v>
      </c>
      <c r="O47" s="2" t="s">
        <v>2181</v>
      </c>
    </row>
    <row r="48" spans="1:15" ht="28.5">
      <c r="A48" s="2" t="s">
        <v>391</v>
      </c>
      <c r="B48" s="2" t="s">
        <v>96</v>
      </c>
      <c r="C48" s="2" t="s">
        <v>370</v>
      </c>
      <c r="D48" s="2" t="s">
        <v>392</v>
      </c>
      <c r="E48" s="2" t="s">
        <v>395</v>
      </c>
      <c r="F48" s="2" t="s">
        <v>377</v>
      </c>
      <c r="G48" s="2">
        <v>0</v>
      </c>
      <c r="H48" s="2" t="s">
        <v>2178</v>
      </c>
      <c r="I48" s="2" t="s">
        <v>2178</v>
      </c>
      <c r="J48" s="2" t="s">
        <v>2178</v>
      </c>
      <c r="K48" s="2" t="s">
        <v>2178</v>
      </c>
      <c r="L48" s="2" t="s">
        <v>2179</v>
      </c>
      <c r="M48" s="2" t="s">
        <v>2180</v>
      </c>
      <c r="N48" s="2" t="s">
        <v>109</v>
      </c>
      <c r="O48" s="2" t="s">
        <v>2181</v>
      </c>
    </row>
    <row r="49" spans="1:15" ht="28.5">
      <c r="A49" s="2" t="s">
        <v>396</v>
      </c>
      <c r="B49" s="2" t="s">
        <v>96</v>
      </c>
      <c r="C49" s="2" t="s">
        <v>370</v>
      </c>
      <c r="D49" s="2" t="s">
        <v>397</v>
      </c>
      <c r="E49" s="2" t="s">
        <v>400</v>
      </c>
      <c r="F49" s="2" t="s">
        <v>377</v>
      </c>
      <c r="G49" s="2">
        <v>0</v>
      </c>
      <c r="H49" s="2" t="s">
        <v>2178</v>
      </c>
      <c r="I49" s="2" t="s">
        <v>2178</v>
      </c>
      <c r="J49" s="2" t="s">
        <v>2178</v>
      </c>
      <c r="K49" s="2" t="s">
        <v>2178</v>
      </c>
      <c r="L49" s="2" t="s">
        <v>2179</v>
      </c>
      <c r="M49" s="2" t="s">
        <v>2180</v>
      </c>
      <c r="N49" s="2" t="s">
        <v>109</v>
      </c>
      <c r="O49" s="2" t="s">
        <v>2181</v>
      </c>
    </row>
    <row r="50" spans="1:15" ht="28.5">
      <c r="A50" s="2" t="s">
        <v>402</v>
      </c>
      <c r="B50" s="2" t="s">
        <v>96</v>
      </c>
      <c r="C50" s="2" t="s">
        <v>370</v>
      </c>
      <c r="D50" s="2" t="s">
        <v>403</v>
      </c>
      <c r="E50" s="2" t="s">
        <v>405</v>
      </c>
      <c r="F50" s="2" t="s">
        <v>377</v>
      </c>
      <c r="G50" s="2">
        <v>0</v>
      </c>
      <c r="H50" s="2" t="s">
        <v>2178</v>
      </c>
      <c r="I50" s="2" t="s">
        <v>2178</v>
      </c>
      <c r="J50" s="2" t="s">
        <v>2178</v>
      </c>
      <c r="K50" s="2" t="s">
        <v>2178</v>
      </c>
      <c r="L50" s="2" t="s">
        <v>2179</v>
      </c>
      <c r="M50" s="2" t="s">
        <v>2180</v>
      </c>
      <c r="N50" s="2" t="s">
        <v>109</v>
      </c>
      <c r="O50" s="2" t="s">
        <v>2181</v>
      </c>
    </row>
    <row r="51" spans="1:15" ht="28.5">
      <c r="A51" s="2" t="s">
        <v>407</v>
      </c>
      <c r="B51" s="2" t="s">
        <v>96</v>
      </c>
      <c r="C51" s="2" t="s">
        <v>370</v>
      </c>
      <c r="D51" s="2" t="s">
        <v>408</v>
      </c>
      <c r="E51" s="2" t="s">
        <v>410</v>
      </c>
      <c r="F51" s="2" t="s">
        <v>377</v>
      </c>
      <c r="G51" s="2">
        <v>0</v>
      </c>
      <c r="H51" s="2" t="s">
        <v>2178</v>
      </c>
      <c r="I51" s="2" t="s">
        <v>2178</v>
      </c>
      <c r="J51" s="2" t="s">
        <v>2178</v>
      </c>
      <c r="K51" s="2" t="s">
        <v>2178</v>
      </c>
      <c r="L51" s="2" t="s">
        <v>2179</v>
      </c>
      <c r="M51" s="2" t="s">
        <v>2180</v>
      </c>
      <c r="N51" s="2" t="s">
        <v>109</v>
      </c>
      <c r="O51" s="2" t="s">
        <v>2181</v>
      </c>
    </row>
    <row r="52" spans="1:15" ht="28.5">
      <c r="A52" s="2" t="s">
        <v>412</v>
      </c>
      <c r="B52" s="2" t="s">
        <v>96</v>
      </c>
      <c r="C52" s="2" t="s">
        <v>370</v>
      </c>
      <c r="D52" s="2" t="s">
        <v>413</v>
      </c>
      <c r="E52" s="2" t="s">
        <v>415</v>
      </c>
      <c r="F52" s="2" t="s">
        <v>377</v>
      </c>
      <c r="G52" s="2">
        <v>0</v>
      </c>
      <c r="H52" s="2" t="s">
        <v>2178</v>
      </c>
      <c r="I52" s="2" t="s">
        <v>2178</v>
      </c>
      <c r="J52" s="2" t="s">
        <v>2178</v>
      </c>
      <c r="K52" s="2" t="s">
        <v>2178</v>
      </c>
      <c r="L52" s="2" t="s">
        <v>2179</v>
      </c>
      <c r="M52" s="2" t="s">
        <v>2180</v>
      </c>
      <c r="N52" s="2" t="s">
        <v>109</v>
      </c>
      <c r="O52" s="2" t="s">
        <v>2181</v>
      </c>
    </row>
    <row r="53" spans="1:15" ht="28.5">
      <c r="A53" s="2" t="s">
        <v>416</v>
      </c>
      <c r="B53" s="2" t="s">
        <v>96</v>
      </c>
      <c r="C53" s="2" t="s">
        <v>370</v>
      </c>
      <c r="D53" s="2" t="s">
        <v>417</v>
      </c>
      <c r="E53" s="2" t="s">
        <v>419</v>
      </c>
      <c r="F53" s="2" t="s">
        <v>377</v>
      </c>
      <c r="G53" s="2">
        <v>0</v>
      </c>
      <c r="H53" s="2" t="s">
        <v>2178</v>
      </c>
      <c r="I53" s="2" t="s">
        <v>2178</v>
      </c>
      <c r="J53" s="2" t="s">
        <v>2178</v>
      </c>
      <c r="K53" s="2" t="s">
        <v>2178</v>
      </c>
      <c r="L53" s="2" t="s">
        <v>2179</v>
      </c>
      <c r="M53" s="2" t="s">
        <v>2180</v>
      </c>
      <c r="N53" s="2" t="s">
        <v>109</v>
      </c>
      <c r="O53" s="2" t="s">
        <v>2181</v>
      </c>
    </row>
    <row r="54" spans="1:15" ht="28.5">
      <c r="A54" s="2" t="s">
        <v>421</v>
      </c>
      <c r="B54" s="2" t="s">
        <v>96</v>
      </c>
      <c r="C54" s="2" t="s">
        <v>370</v>
      </c>
      <c r="D54" s="2" t="s">
        <v>422</v>
      </c>
      <c r="E54" s="2" t="s">
        <v>424</v>
      </c>
      <c r="F54" s="2" t="s">
        <v>377</v>
      </c>
      <c r="G54" s="2">
        <v>0</v>
      </c>
      <c r="H54" s="2" t="s">
        <v>2178</v>
      </c>
      <c r="I54" s="2" t="s">
        <v>2178</v>
      </c>
      <c r="J54" s="2" t="s">
        <v>2178</v>
      </c>
      <c r="K54" s="2" t="s">
        <v>2178</v>
      </c>
      <c r="L54" s="2" t="s">
        <v>2179</v>
      </c>
      <c r="M54" s="2" t="s">
        <v>2180</v>
      </c>
      <c r="N54" s="2" t="s">
        <v>109</v>
      </c>
      <c r="O54" s="2" t="s">
        <v>2181</v>
      </c>
    </row>
    <row r="55" spans="1:15" ht="28.5">
      <c r="A55" s="2" t="s">
        <v>425</v>
      </c>
      <c r="B55" s="2" t="s">
        <v>96</v>
      </c>
      <c r="C55" s="2" t="s">
        <v>370</v>
      </c>
      <c r="D55" s="2" t="s">
        <v>426</v>
      </c>
      <c r="E55" s="2" t="s">
        <v>428</v>
      </c>
      <c r="F55" s="2" t="s">
        <v>377</v>
      </c>
      <c r="G55" s="2">
        <v>0</v>
      </c>
      <c r="H55" s="2" t="s">
        <v>2178</v>
      </c>
      <c r="I55" s="2" t="s">
        <v>2178</v>
      </c>
      <c r="J55" s="2" t="s">
        <v>2178</v>
      </c>
      <c r="K55" s="2" t="s">
        <v>2178</v>
      </c>
      <c r="L55" s="2" t="s">
        <v>2179</v>
      </c>
      <c r="M55" s="2" t="s">
        <v>2180</v>
      </c>
      <c r="N55" s="2" t="s">
        <v>109</v>
      </c>
      <c r="O55" s="2" t="s">
        <v>2181</v>
      </c>
    </row>
    <row r="56" spans="1:15" ht="28.5">
      <c r="A56" s="2" t="s">
        <v>429</v>
      </c>
      <c r="B56" s="2" t="s">
        <v>96</v>
      </c>
      <c r="C56" s="2" t="s">
        <v>370</v>
      </c>
      <c r="D56" s="2" t="s">
        <v>431</v>
      </c>
      <c r="E56" s="2" t="s">
        <v>433</v>
      </c>
      <c r="F56" s="2" t="s">
        <v>377</v>
      </c>
      <c r="G56" s="2">
        <v>0</v>
      </c>
      <c r="H56" s="2" t="s">
        <v>2178</v>
      </c>
      <c r="I56" s="2" t="s">
        <v>2178</v>
      </c>
      <c r="J56" s="2" t="s">
        <v>2178</v>
      </c>
      <c r="K56" s="2" t="s">
        <v>2178</v>
      </c>
      <c r="L56" s="2" t="s">
        <v>2179</v>
      </c>
      <c r="M56" s="2" t="s">
        <v>2180</v>
      </c>
      <c r="N56" s="2" t="s">
        <v>109</v>
      </c>
      <c r="O56" s="2" t="s">
        <v>2181</v>
      </c>
    </row>
    <row r="57" spans="1:15" ht="28.5">
      <c r="A57" s="2" t="s">
        <v>435</v>
      </c>
      <c r="B57" s="2" t="s">
        <v>96</v>
      </c>
      <c r="C57" s="2" t="s">
        <v>436</v>
      </c>
      <c r="D57" s="2" t="s">
        <v>439</v>
      </c>
      <c r="E57" s="2" t="s">
        <v>442</v>
      </c>
      <c r="F57" s="2" t="s">
        <v>443</v>
      </c>
      <c r="G57" s="2">
        <v>0</v>
      </c>
      <c r="H57" s="2" t="s">
        <v>2178</v>
      </c>
      <c r="I57" s="2" t="s">
        <v>2178</v>
      </c>
      <c r="J57" s="2" t="s">
        <v>2178</v>
      </c>
      <c r="K57" s="2" t="s">
        <v>2178</v>
      </c>
      <c r="L57" s="2" t="s">
        <v>2179</v>
      </c>
      <c r="M57" s="2" t="s">
        <v>2180</v>
      </c>
      <c r="N57" s="2" t="s">
        <v>109</v>
      </c>
      <c r="O57" s="2" t="s">
        <v>2181</v>
      </c>
    </row>
    <row r="58" spans="1:15" ht="28.5">
      <c r="A58" s="2" t="s">
        <v>445</v>
      </c>
      <c r="B58" s="2" t="s">
        <v>96</v>
      </c>
      <c r="C58" s="2" t="s">
        <v>436</v>
      </c>
      <c r="D58" s="2" t="s">
        <v>446</v>
      </c>
      <c r="E58" s="2" t="s">
        <v>449</v>
      </c>
      <c r="F58" s="2" t="s">
        <v>443</v>
      </c>
      <c r="G58" s="2">
        <v>0</v>
      </c>
      <c r="H58" s="2" t="s">
        <v>2178</v>
      </c>
      <c r="I58" s="2" t="s">
        <v>2178</v>
      </c>
      <c r="J58" s="2" t="s">
        <v>2178</v>
      </c>
      <c r="K58" s="2" t="s">
        <v>2178</v>
      </c>
      <c r="L58" s="2" t="s">
        <v>2179</v>
      </c>
      <c r="M58" s="2" t="s">
        <v>2180</v>
      </c>
      <c r="N58" s="2" t="s">
        <v>109</v>
      </c>
      <c r="O58" s="2" t="s">
        <v>2181</v>
      </c>
    </row>
    <row r="59" spans="1:15" ht="28.5">
      <c r="A59" s="2" t="s">
        <v>451</v>
      </c>
      <c r="B59" s="2" t="s">
        <v>96</v>
      </c>
      <c r="C59" s="2" t="s">
        <v>436</v>
      </c>
      <c r="D59" s="2" t="s">
        <v>446</v>
      </c>
      <c r="E59" s="2" t="s">
        <v>449</v>
      </c>
      <c r="F59" s="2" t="s">
        <v>443</v>
      </c>
      <c r="G59" s="2">
        <v>0</v>
      </c>
      <c r="H59" s="2" t="s">
        <v>2178</v>
      </c>
      <c r="I59" s="2" t="s">
        <v>2178</v>
      </c>
      <c r="J59" s="2" t="s">
        <v>2178</v>
      </c>
      <c r="K59" s="2" t="s">
        <v>2178</v>
      </c>
      <c r="L59" s="2" t="s">
        <v>2179</v>
      </c>
      <c r="M59" s="2" t="s">
        <v>2180</v>
      </c>
      <c r="N59" s="2" t="s">
        <v>109</v>
      </c>
      <c r="O59" s="2" t="s">
        <v>2181</v>
      </c>
    </row>
    <row r="60" spans="1:15" ht="28.5">
      <c r="A60" s="2" t="s">
        <v>455</v>
      </c>
      <c r="B60" s="2" t="s">
        <v>96</v>
      </c>
      <c r="C60" s="2" t="s">
        <v>436</v>
      </c>
      <c r="D60" s="2" t="s">
        <v>456</v>
      </c>
      <c r="E60" s="2" t="s">
        <v>458</v>
      </c>
      <c r="F60" s="2" t="s">
        <v>443</v>
      </c>
      <c r="G60" s="2">
        <v>0</v>
      </c>
      <c r="H60" s="2" t="s">
        <v>2178</v>
      </c>
      <c r="I60" s="2" t="s">
        <v>2178</v>
      </c>
      <c r="J60" s="2" t="s">
        <v>2178</v>
      </c>
      <c r="K60" s="2" t="s">
        <v>2178</v>
      </c>
      <c r="L60" s="2" t="s">
        <v>2179</v>
      </c>
      <c r="M60" s="2" t="s">
        <v>2180</v>
      </c>
      <c r="N60" s="2" t="s">
        <v>109</v>
      </c>
      <c r="O60" s="2" t="s">
        <v>2181</v>
      </c>
    </row>
    <row r="61" spans="1:15" ht="28.5">
      <c r="A61" s="2" t="s">
        <v>460</v>
      </c>
      <c r="B61" s="2" t="s">
        <v>96</v>
      </c>
      <c r="C61" s="2" t="s">
        <v>436</v>
      </c>
      <c r="D61" s="2" t="s">
        <v>456</v>
      </c>
      <c r="E61" s="2" t="s">
        <v>458</v>
      </c>
      <c r="F61" s="2" t="s">
        <v>443</v>
      </c>
      <c r="G61" s="2">
        <v>0</v>
      </c>
      <c r="H61" s="2" t="s">
        <v>2178</v>
      </c>
      <c r="I61" s="2" t="s">
        <v>2178</v>
      </c>
      <c r="J61" s="2" t="s">
        <v>2178</v>
      </c>
      <c r="K61" s="2" t="s">
        <v>2178</v>
      </c>
      <c r="L61" s="2" t="s">
        <v>2179</v>
      </c>
      <c r="M61" s="2" t="s">
        <v>2180</v>
      </c>
      <c r="N61" s="2" t="s">
        <v>109</v>
      </c>
      <c r="O61" s="2" t="s">
        <v>2181</v>
      </c>
    </row>
    <row r="62" spans="1:15" ht="28.5">
      <c r="A62" s="2" t="s">
        <v>464</v>
      </c>
      <c r="B62" s="2" t="s">
        <v>96</v>
      </c>
      <c r="C62" s="2" t="s">
        <v>436</v>
      </c>
      <c r="D62" s="2" t="s">
        <v>466</v>
      </c>
      <c r="E62" s="2" t="s">
        <v>468</v>
      </c>
      <c r="F62" s="2" t="s">
        <v>443</v>
      </c>
      <c r="G62" s="2">
        <v>0</v>
      </c>
      <c r="H62" s="2" t="s">
        <v>2178</v>
      </c>
      <c r="I62" s="2" t="s">
        <v>2178</v>
      </c>
      <c r="J62" s="2" t="s">
        <v>2178</v>
      </c>
      <c r="K62" s="2" t="s">
        <v>2178</v>
      </c>
      <c r="L62" s="2" t="s">
        <v>2179</v>
      </c>
      <c r="M62" s="2" t="s">
        <v>2180</v>
      </c>
      <c r="N62" s="2" t="s">
        <v>109</v>
      </c>
      <c r="O62" s="2" t="s">
        <v>2181</v>
      </c>
    </row>
    <row r="63" spans="1:15" ht="28.5">
      <c r="A63" s="2" t="s">
        <v>470</v>
      </c>
      <c r="B63" s="2" t="s">
        <v>96</v>
      </c>
      <c r="C63" s="2" t="s">
        <v>436</v>
      </c>
      <c r="D63" s="2" t="s">
        <v>466</v>
      </c>
      <c r="E63" s="2" t="s">
        <v>468</v>
      </c>
      <c r="F63" s="2" t="s">
        <v>443</v>
      </c>
      <c r="G63" s="2">
        <v>0</v>
      </c>
      <c r="H63" s="2" t="s">
        <v>2178</v>
      </c>
      <c r="I63" s="2" t="s">
        <v>2178</v>
      </c>
      <c r="J63" s="2" t="s">
        <v>2178</v>
      </c>
      <c r="K63" s="2" t="s">
        <v>2178</v>
      </c>
      <c r="L63" s="2" t="s">
        <v>2179</v>
      </c>
      <c r="M63" s="2" t="s">
        <v>2180</v>
      </c>
      <c r="N63" s="2" t="s">
        <v>109</v>
      </c>
      <c r="O63" s="2" t="s">
        <v>2181</v>
      </c>
    </row>
    <row r="64" spans="1:15" ht="28.5">
      <c r="A64" s="2" t="s">
        <v>473</v>
      </c>
      <c r="B64" s="2" t="s">
        <v>96</v>
      </c>
      <c r="C64" s="2" t="s">
        <v>436</v>
      </c>
      <c r="D64" s="2" t="s">
        <v>474</v>
      </c>
      <c r="E64" s="2" t="s">
        <v>476</v>
      </c>
      <c r="F64" s="2" t="s">
        <v>443</v>
      </c>
      <c r="G64" s="2">
        <v>0</v>
      </c>
      <c r="H64" s="2" t="s">
        <v>2178</v>
      </c>
      <c r="I64" s="2" t="s">
        <v>2178</v>
      </c>
      <c r="J64" s="2" t="s">
        <v>2178</v>
      </c>
      <c r="K64" s="2" t="s">
        <v>2178</v>
      </c>
      <c r="L64" s="2" t="s">
        <v>2179</v>
      </c>
      <c r="M64" s="2" t="s">
        <v>2180</v>
      </c>
      <c r="N64" s="2" t="s">
        <v>109</v>
      </c>
      <c r="O64" s="2" t="s">
        <v>2181</v>
      </c>
    </row>
    <row r="65" spans="1:15" ht="28.5">
      <c r="A65" s="2" t="s">
        <v>478</v>
      </c>
      <c r="B65" s="2" t="s">
        <v>96</v>
      </c>
      <c r="C65" s="2" t="s">
        <v>436</v>
      </c>
      <c r="D65" s="2" t="s">
        <v>474</v>
      </c>
      <c r="E65" s="2" t="s">
        <v>476</v>
      </c>
      <c r="F65" s="2" t="s">
        <v>443</v>
      </c>
      <c r="G65" s="2">
        <v>0</v>
      </c>
      <c r="H65" s="2" t="s">
        <v>2178</v>
      </c>
      <c r="I65" s="2" t="s">
        <v>2178</v>
      </c>
      <c r="J65" s="2" t="s">
        <v>2178</v>
      </c>
      <c r="K65" s="2" t="s">
        <v>2178</v>
      </c>
      <c r="L65" s="2" t="s">
        <v>2179</v>
      </c>
      <c r="M65" s="2" t="s">
        <v>2180</v>
      </c>
      <c r="N65" s="2" t="s">
        <v>109</v>
      </c>
      <c r="O65" s="2" t="s">
        <v>2181</v>
      </c>
    </row>
    <row r="66" spans="1:15" ht="28.5">
      <c r="A66" s="2" t="s">
        <v>481</v>
      </c>
      <c r="B66" s="2" t="s">
        <v>96</v>
      </c>
      <c r="C66" s="2" t="s">
        <v>436</v>
      </c>
      <c r="D66" s="2" t="s">
        <v>483</v>
      </c>
      <c r="E66" s="2" t="s">
        <v>485</v>
      </c>
      <c r="F66" s="2" t="s">
        <v>443</v>
      </c>
      <c r="G66" s="2">
        <v>0</v>
      </c>
      <c r="H66" s="2" t="s">
        <v>2178</v>
      </c>
      <c r="I66" s="2" t="s">
        <v>2178</v>
      </c>
      <c r="J66" s="2" t="s">
        <v>2178</v>
      </c>
      <c r="K66" s="2" t="s">
        <v>2178</v>
      </c>
      <c r="L66" s="2" t="s">
        <v>2179</v>
      </c>
      <c r="M66" s="2" t="s">
        <v>2180</v>
      </c>
      <c r="N66" s="2" t="s">
        <v>109</v>
      </c>
      <c r="O66" s="2" t="s">
        <v>2181</v>
      </c>
    </row>
    <row r="67" spans="1:15" ht="28.5">
      <c r="A67" s="2" t="s">
        <v>486</v>
      </c>
      <c r="B67" s="2" t="s">
        <v>96</v>
      </c>
      <c r="C67" s="2" t="s">
        <v>436</v>
      </c>
      <c r="D67" s="2" t="s">
        <v>487</v>
      </c>
      <c r="E67" s="2" t="s">
        <v>489</v>
      </c>
      <c r="F67" s="2" t="s">
        <v>443</v>
      </c>
      <c r="G67" s="2">
        <v>0</v>
      </c>
      <c r="H67" s="2" t="s">
        <v>2178</v>
      </c>
      <c r="I67" s="2" t="s">
        <v>2178</v>
      </c>
      <c r="J67" s="2" t="s">
        <v>2178</v>
      </c>
      <c r="K67" s="2" t="s">
        <v>2178</v>
      </c>
      <c r="L67" s="2" t="s">
        <v>2179</v>
      </c>
      <c r="M67" s="2" t="s">
        <v>2180</v>
      </c>
      <c r="N67" s="2" t="s">
        <v>109</v>
      </c>
      <c r="O67" s="2" t="s">
        <v>2181</v>
      </c>
    </row>
    <row r="68" spans="1:15" ht="28.5">
      <c r="A68" s="2" t="s">
        <v>490</v>
      </c>
      <c r="B68" s="2" t="s">
        <v>96</v>
      </c>
      <c r="C68" s="2" t="s">
        <v>436</v>
      </c>
      <c r="D68" s="2" t="s">
        <v>487</v>
      </c>
      <c r="E68" s="2" t="s">
        <v>489</v>
      </c>
      <c r="F68" s="2" t="s">
        <v>443</v>
      </c>
      <c r="G68" s="2">
        <v>0</v>
      </c>
      <c r="H68" s="2" t="s">
        <v>2178</v>
      </c>
      <c r="I68" s="2" t="s">
        <v>2178</v>
      </c>
      <c r="J68" s="2" t="s">
        <v>2178</v>
      </c>
      <c r="K68" s="2" t="s">
        <v>2178</v>
      </c>
      <c r="L68" s="2" t="s">
        <v>2179</v>
      </c>
      <c r="M68" s="2" t="s">
        <v>2180</v>
      </c>
      <c r="N68" s="2" t="s">
        <v>109</v>
      </c>
      <c r="O68" s="2" t="s">
        <v>2181</v>
      </c>
    </row>
    <row r="69" spans="1:15" ht="28.5">
      <c r="A69" s="2" t="s">
        <v>492</v>
      </c>
      <c r="B69" s="2" t="s">
        <v>96</v>
      </c>
      <c r="C69" s="2" t="s">
        <v>436</v>
      </c>
      <c r="D69" s="2" t="s">
        <v>493</v>
      </c>
      <c r="E69" s="2" t="s">
        <v>495</v>
      </c>
      <c r="F69" s="2" t="s">
        <v>443</v>
      </c>
      <c r="G69" s="2">
        <v>0</v>
      </c>
      <c r="H69" s="2" t="s">
        <v>2178</v>
      </c>
      <c r="I69" s="2" t="s">
        <v>2178</v>
      </c>
      <c r="J69" s="2" t="s">
        <v>2178</v>
      </c>
      <c r="K69" s="2" t="s">
        <v>2178</v>
      </c>
      <c r="L69" s="2" t="s">
        <v>2179</v>
      </c>
      <c r="M69" s="2" t="s">
        <v>2180</v>
      </c>
      <c r="N69" s="2" t="s">
        <v>109</v>
      </c>
      <c r="O69" s="2" t="s">
        <v>2181</v>
      </c>
    </row>
    <row r="70" spans="1:15" ht="28.5">
      <c r="A70" s="2" t="s">
        <v>496</v>
      </c>
      <c r="B70" s="2" t="s">
        <v>96</v>
      </c>
      <c r="C70" s="2" t="s">
        <v>436</v>
      </c>
      <c r="D70" s="2" t="s">
        <v>493</v>
      </c>
      <c r="E70" s="2" t="s">
        <v>495</v>
      </c>
      <c r="F70" s="2" t="s">
        <v>443</v>
      </c>
      <c r="G70" s="2">
        <v>0</v>
      </c>
      <c r="H70" s="2" t="s">
        <v>2178</v>
      </c>
      <c r="I70" s="2" t="s">
        <v>2178</v>
      </c>
      <c r="J70" s="2" t="s">
        <v>2178</v>
      </c>
      <c r="K70" s="2" t="s">
        <v>2178</v>
      </c>
      <c r="L70" s="2" t="s">
        <v>2179</v>
      </c>
      <c r="M70" s="2" t="s">
        <v>2180</v>
      </c>
      <c r="N70" s="2" t="s">
        <v>109</v>
      </c>
      <c r="O70" s="2" t="s">
        <v>2181</v>
      </c>
    </row>
    <row r="71" spans="1:15" ht="28.5">
      <c r="A71" s="2" t="s">
        <v>498</v>
      </c>
      <c r="B71" s="2" t="s">
        <v>96</v>
      </c>
      <c r="C71" s="2" t="s">
        <v>436</v>
      </c>
      <c r="D71" s="2" t="s">
        <v>500</v>
      </c>
      <c r="E71" s="2" t="s">
        <v>502</v>
      </c>
      <c r="F71" s="2" t="s">
        <v>443</v>
      </c>
      <c r="G71" s="2">
        <v>0</v>
      </c>
      <c r="H71" s="2" t="s">
        <v>2178</v>
      </c>
      <c r="I71" s="2" t="s">
        <v>2178</v>
      </c>
      <c r="J71" s="2" t="s">
        <v>2178</v>
      </c>
      <c r="K71" s="2" t="s">
        <v>2178</v>
      </c>
      <c r="L71" s="2" t="s">
        <v>2179</v>
      </c>
      <c r="M71" s="2" t="s">
        <v>2180</v>
      </c>
      <c r="N71" s="2" t="s">
        <v>109</v>
      </c>
      <c r="O71" s="2" t="s">
        <v>2181</v>
      </c>
    </row>
    <row r="72" spans="1:15" ht="28.5">
      <c r="A72" s="2" t="s">
        <v>503</v>
      </c>
      <c r="B72" s="2" t="s">
        <v>96</v>
      </c>
      <c r="C72" s="2" t="s">
        <v>436</v>
      </c>
      <c r="D72" s="2" t="s">
        <v>500</v>
      </c>
      <c r="E72" s="2" t="s">
        <v>502</v>
      </c>
      <c r="F72" s="2" t="s">
        <v>443</v>
      </c>
      <c r="G72" s="2">
        <v>0</v>
      </c>
      <c r="H72" s="2" t="s">
        <v>2178</v>
      </c>
      <c r="I72" s="2" t="s">
        <v>2178</v>
      </c>
      <c r="J72" s="2" t="s">
        <v>2178</v>
      </c>
      <c r="K72" s="2" t="s">
        <v>2178</v>
      </c>
      <c r="L72" s="2" t="s">
        <v>2179</v>
      </c>
      <c r="M72" s="2" t="s">
        <v>2180</v>
      </c>
      <c r="N72" s="2" t="s">
        <v>109</v>
      </c>
      <c r="O72" s="2" t="s">
        <v>2181</v>
      </c>
    </row>
    <row r="73" spans="1:15" ht="28.5">
      <c r="A73" s="2" t="s">
        <v>505</v>
      </c>
      <c r="B73" s="2" t="s">
        <v>96</v>
      </c>
      <c r="C73" s="2" t="s">
        <v>436</v>
      </c>
      <c r="D73" s="2" t="s">
        <v>506</v>
      </c>
      <c r="E73" s="2" t="s">
        <v>508</v>
      </c>
      <c r="F73" s="2" t="s">
        <v>443</v>
      </c>
      <c r="G73" s="2">
        <v>0</v>
      </c>
      <c r="H73" s="2" t="s">
        <v>2178</v>
      </c>
      <c r="I73" s="2" t="s">
        <v>2178</v>
      </c>
      <c r="J73" s="2" t="s">
        <v>2178</v>
      </c>
      <c r="K73" s="2" t="s">
        <v>2178</v>
      </c>
      <c r="L73" s="2" t="s">
        <v>2179</v>
      </c>
      <c r="M73" s="2" t="s">
        <v>2180</v>
      </c>
      <c r="N73" s="2" t="s">
        <v>109</v>
      </c>
      <c r="O73" s="2" t="s">
        <v>2181</v>
      </c>
    </row>
    <row r="74" spans="1:15" ht="28.5">
      <c r="A74" s="2" t="s">
        <v>509</v>
      </c>
      <c r="B74" s="2" t="s">
        <v>96</v>
      </c>
      <c r="C74" s="2" t="s">
        <v>436</v>
      </c>
      <c r="D74" s="2" t="s">
        <v>506</v>
      </c>
      <c r="E74" s="2" t="s">
        <v>508</v>
      </c>
      <c r="F74" s="2" t="s">
        <v>443</v>
      </c>
      <c r="G74" s="2">
        <v>0</v>
      </c>
      <c r="H74" s="2" t="s">
        <v>2178</v>
      </c>
      <c r="I74" s="2" t="s">
        <v>2178</v>
      </c>
      <c r="J74" s="2" t="s">
        <v>2178</v>
      </c>
      <c r="K74" s="2" t="s">
        <v>2178</v>
      </c>
      <c r="L74" s="2" t="s">
        <v>2179</v>
      </c>
      <c r="M74" s="2" t="s">
        <v>2180</v>
      </c>
      <c r="N74" s="2" t="s">
        <v>109</v>
      </c>
      <c r="O74" s="2" t="s">
        <v>2181</v>
      </c>
    </row>
    <row r="75" spans="1:15" ht="28.5">
      <c r="A75" s="2" t="s">
        <v>511</v>
      </c>
      <c r="B75" s="2" t="s">
        <v>96</v>
      </c>
      <c r="C75" s="2" t="s">
        <v>512</v>
      </c>
      <c r="D75" s="2" t="s">
        <v>515</v>
      </c>
      <c r="E75" s="2" t="s">
        <v>518</v>
      </c>
      <c r="F75" s="2" t="s">
        <v>519</v>
      </c>
      <c r="G75" s="2">
        <v>0</v>
      </c>
      <c r="H75" s="2" t="s">
        <v>2178</v>
      </c>
      <c r="I75" s="2" t="s">
        <v>2178</v>
      </c>
      <c r="J75" s="2" t="s">
        <v>2178</v>
      </c>
      <c r="K75" s="2" t="s">
        <v>2178</v>
      </c>
      <c r="L75" s="2" t="s">
        <v>2179</v>
      </c>
      <c r="M75" s="2" t="s">
        <v>2180</v>
      </c>
      <c r="N75" s="2" t="s">
        <v>109</v>
      </c>
      <c r="O75" s="2" t="s">
        <v>2181</v>
      </c>
    </row>
    <row r="76" spans="1:15" ht="28.5">
      <c r="A76" s="2" t="s">
        <v>521</v>
      </c>
      <c r="B76" s="2" t="s">
        <v>96</v>
      </c>
      <c r="C76" s="2" t="s">
        <v>512</v>
      </c>
      <c r="D76" s="2" t="s">
        <v>522</v>
      </c>
      <c r="E76" s="2" t="s">
        <v>524</v>
      </c>
      <c r="F76" s="2" t="s">
        <v>519</v>
      </c>
      <c r="G76" s="2">
        <v>0</v>
      </c>
      <c r="H76" s="2" t="s">
        <v>2178</v>
      </c>
      <c r="I76" s="2" t="s">
        <v>2178</v>
      </c>
      <c r="J76" s="2" t="s">
        <v>2178</v>
      </c>
      <c r="K76" s="2" t="s">
        <v>2178</v>
      </c>
      <c r="L76" s="2" t="s">
        <v>2179</v>
      </c>
      <c r="M76" s="2" t="s">
        <v>2180</v>
      </c>
      <c r="N76" s="2" t="s">
        <v>109</v>
      </c>
      <c r="O76" s="2" t="s">
        <v>2181</v>
      </c>
    </row>
    <row r="77" spans="1:15" ht="28.5">
      <c r="A77" s="2" t="s">
        <v>525</v>
      </c>
      <c r="B77" s="2" t="s">
        <v>96</v>
      </c>
      <c r="C77" s="2" t="s">
        <v>512</v>
      </c>
      <c r="D77" s="2" t="s">
        <v>526</v>
      </c>
      <c r="E77" s="2" t="s">
        <v>528</v>
      </c>
      <c r="F77" s="2" t="s">
        <v>519</v>
      </c>
      <c r="G77" s="2">
        <v>0</v>
      </c>
      <c r="H77" s="2" t="s">
        <v>2178</v>
      </c>
      <c r="I77" s="2" t="s">
        <v>2178</v>
      </c>
      <c r="J77" s="2" t="s">
        <v>2178</v>
      </c>
      <c r="K77" s="2" t="s">
        <v>2178</v>
      </c>
      <c r="L77" s="2" t="s">
        <v>2179</v>
      </c>
      <c r="M77" s="2" t="s">
        <v>2180</v>
      </c>
      <c r="N77" s="2" t="s">
        <v>109</v>
      </c>
      <c r="O77" s="2" t="s">
        <v>2181</v>
      </c>
    </row>
    <row r="78" spans="1:15" ht="28.5">
      <c r="A78" s="2" t="s">
        <v>529</v>
      </c>
      <c r="B78" s="2" t="s">
        <v>96</v>
      </c>
      <c r="C78" s="2" t="s">
        <v>512</v>
      </c>
      <c r="D78" s="2" t="s">
        <v>530</v>
      </c>
      <c r="E78" s="2" t="s">
        <v>532</v>
      </c>
      <c r="F78" s="2" t="s">
        <v>519</v>
      </c>
      <c r="G78" s="2">
        <v>0</v>
      </c>
      <c r="H78" s="2" t="s">
        <v>2178</v>
      </c>
      <c r="I78" s="2" t="s">
        <v>2178</v>
      </c>
      <c r="J78" s="2" t="s">
        <v>2178</v>
      </c>
      <c r="K78" s="2" t="s">
        <v>2178</v>
      </c>
      <c r="L78" s="2" t="s">
        <v>2179</v>
      </c>
      <c r="M78" s="2" t="s">
        <v>2180</v>
      </c>
      <c r="N78" s="2" t="s">
        <v>109</v>
      </c>
      <c r="O78" s="2" t="s">
        <v>2181</v>
      </c>
    </row>
    <row r="79" spans="1:15" ht="28.5">
      <c r="A79" s="2" t="s">
        <v>533</v>
      </c>
      <c r="B79" s="2" t="s">
        <v>96</v>
      </c>
      <c r="C79" s="2" t="s">
        <v>512</v>
      </c>
      <c r="D79" s="2" t="s">
        <v>534</v>
      </c>
      <c r="E79" s="2" t="s">
        <v>536</v>
      </c>
      <c r="F79" s="2" t="s">
        <v>519</v>
      </c>
      <c r="G79" s="2">
        <v>0</v>
      </c>
      <c r="H79" s="2" t="s">
        <v>2178</v>
      </c>
      <c r="I79" s="2" t="s">
        <v>2178</v>
      </c>
      <c r="J79" s="2" t="s">
        <v>2178</v>
      </c>
      <c r="K79" s="2" t="s">
        <v>2178</v>
      </c>
      <c r="L79" s="2" t="s">
        <v>2179</v>
      </c>
      <c r="M79" s="2" t="s">
        <v>2180</v>
      </c>
      <c r="N79" s="2" t="s">
        <v>109</v>
      </c>
      <c r="O79" s="2" t="s">
        <v>2181</v>
      </c>
    </row>
    <row r="80" spans="1:15" ht="28.5">
      <c r="A80" s="2" t="s">
        <v>537</v>
      </c>
      <c r="B80" s="2" t="s">
        <v>96</v>
      </c>
      <c r="C80" s="2" t="s">
        <v>512</v>
      </c>
      <c r="D80" s="2" t="s">
        <v>538</v>
      </c>
      <c r="E80" s="2" t="s">
        <v>540</v>
      </c>
      <c r="F80" s="2" t="s">
        <v>519</v>
      </c>
      <c r="G80" s="2">
        <v>0</v>
      </c>
      <c r="H80" s="2" t="s">
        <v>2178</v>
      </c>
      <c r="I80" s="2" t="s">
        <v>2178</v>
      </c>
      <c r="J80" s="2" t="s">
        <v>2178</v>
      </c>
      <c r="K80" s="2" t="s">
        <v>2178</v>
      </c>
      <c r="L80" s="2" t="s">
        <v>2179</v>
      </c>
      <c r="M80" s="2" t="s">
        <v>2180</v>
      </c>
      <c r="N80" s="2" t="s">
        <v>109</v>
      </c>
      <c r="O80" s="2" t="s">
        <v>2181</v>
      </c>
    </row>
    <row r="81" spans="1:15" ht="28.5">
      <c r="A81" s="2" t="s">
        <v>541</v>
      </c>
      <c r="B81" s="2" t="s">
        <v>96</v>
      </c>
      <c r="C81" s="2" t="s">
        <v>512</v>
      </c>
      <c r="D81" s="2" t="s">
        <v>542</v>
      </c>
      <c r="E81" s="2" t="s">
        <v>544</v>
      </c>
      <c r="F81" s="2" t="s">
        <v>519</v>
      </c>
      <c r="G81" s="2">
        <v>0</v>
      </c>
      <c r="H81" s="2" t="s">
        <v>2178</v>
      </c>
      <c r="I81" s="2" t="s">
        <v>2178</v>
      </c>
      <c r="J81" s="2" t="s">
        <v>2178</v>
      </c>
      <c r="K81" s="2" t="s">
        <v>2178</v>
      </c>
      <c r="L81" s="2" t="s">
        <v>2179</v>
      </c>
      <c r="M81" s="2" t="s">
        <v>2180</v>
      </c>
      <c r="N81" s="2" t="s">
        <v>109</v>
      </c>
      <c r="O81" s="2" t="s">
        <v>2181</v>
      </c>
    </row>
    <row r="82" spans="1:15" ht="28.5">
      <c r="A82" s="2" t="s">
        <v>545</v>
      </c>
      <c r="B82" s="2" t="s">
        <v>96</v>
      </c>
      <c r="C82" s="2" t="s">
        <v>512</v>
      </c>
      <c r="D82" s="2" t="s">
        <v>546</v>
      </c>
      <c r="E82" s="2" t="s">
        <v>548</v>
      </c>
      <c r="F82" s="2" t="s">
        <v>519</v>
      </c>
      <c r="G82" s="2">
        <v>0</v>
      </c>
      <c r="H82" s="2" t="s">
        <v>2178</v>
      </c>
      <c r="I82" s="2" t="s">
        <v>2178</v>
      </c>
      <c r="J82" s="2" t="s">
        <v>2178</v>
      </c>
      <c r="K82" s="2" t="s">
        <v>2178</v>
      </c>
      <c r="L82" s="2" t="s">
        <v>2179</v>
      </c>
      <c r="M82" s="2" t="s">
        <v>2180</v>
      </c>
      <c r="N82" s="2" t="s">
        <v>109</v>
      </c>
      <c r="O82" s="2" t="s">
        <v>2181</v>
      </c>
    </row>
    <row r="83" spans="1:15" ht="28.5">
      <c r="A83" s="2" t="s">
        <v>549</v>
      </c>
      <c r="B83" s="2" t="s">
        <v>96</v>
      </c>
      <c r="C83" s="2" t="s">
        <v>512</v>
      </c>
      <c r="D83" s="2" t="s">
        <v>550</v>
      </c>
      <c r="E83" s="2" t="s">
        <v>552</v>
      </c>
      <c r="F83" s="2" t="s">
        <v>519</v>
      </c>
      <c r="G83" s="2">
        <v>0</v>
      </c>
      <c r="H83" s="2" t="s">
        <v>2178</v>
      </c>
      <c r="I83" s="2" t="s">
        <v>2178</v>
      </c>
      <c r="J83" s="2" t="s">
        <v>2178</v>
      </c>
      <c r="K83" s="2" t="s">
        <v>2178</v>
      </c>
      <c r="L83" s="2" t="s">
        <v>2179</v>
      </c>
      <c r="M83" s="2" t="s">
        <v>2180</v>
      </c>
      <c r="N83" s="2" t="s">
        <v>109</v>
      </c>
      <c r="O83" s="2" t="s">
        <v>2181</v>
      </c>
    </row>
    <row r="84" spans="1:15" ht="28.5">
      <c r="A84" s="2" t="s">
        <v>553</v>
      </c>
      <c r="B84" s="2" t="s">
        <v>96</v>
      </c>
      <c r="C84" s="2" t="s">
        <v>512</v>
      </c>
      <c r="D84" s="2" t="s">
        <v>554</v>
      </c>
      <c r="E84" s="2" t="s">
        <v>556</v>
      </c>
      <c r="F84" s="2" t="s">
        <v>519</v>
      </c>
      <c r="G84" s="2">
        <v>0</v>
      </c>
      <c r="H84" s="2" t="s">
        <v>2178</v>
      </c>
      <c r="I84" s="2" t="s">
        <v>2178</v>
      </c>
      <c r="J84" s="2" t="s">
        <v>2178</v>
      </c>
      <c r="K84" s="2" t="s">
        <v>2178</v>
      </c>
      <c r="L84" s="2" t="s">
        <v>2179</v>
      </c>
      <c r="M84" s="2" t="s">
        <v>2180</v>
      </c>
      <c r="N84" s="2" t="s">
        <v>109</v>
      </c>
      <c r="O84" s="2" t="s">
        <v>2181</v>
      </c>
    </row>
    <row r="85" spans="1:15" ht="28.5">
      <c r="A85" s="2" t="s">
        <v>558</v>
      </c>
      <c r="B85" s="2" t="s">
        <v>96</v>
      </c>
      <c r="C85" s="2" t="s">
        <v>512</v>
      </c>
      <c r="D85" s="2" t="s">
        <v>559</v>
      </c>
      <c r="E85" s="2" t="s">
        <v>561</v>
      </c>
      <c r="F85" s="2" t="s">
        <v>519</v>
      </c>
      <c r="G85" s="2">
        <v>0</v>
      </c>
      <c r="H85" s="2" t="s">
        <v>2178</v>
      </c>
      <c r="I85" s="2" t="s">
        <v>2178</v>
      </c>
      <c r="J85" s="2" t="s">
        <v>2178</v>
      </c>
      <c r="K85" s="2" t="s">
        <v>2178</v>
      </c>
      <c r="L85" s="2" t="s">
        <v>2179</v>
      </c>
      <c r="M85" s="2" t="s">
        <v>2180</v>
      </c>
      <c r="N85" s="2" t="s">
        <v>109</v>
      </c>
      <c r="O85" s="2" t="s">
        <v>2181</v>
      </c>
    </row>
    <row r="86" spans="1:15" ht="28.5">
      <c r="A86" s="2" t="s">
        <v>563</v>
      </c>
      <c r="B86" s="2" t="s">
        <v>96</v>
      </c>
      <c r="C86" s="2" t="s">
        <v>564</v>
      </c>
      <c r="D86" s="2" t="s">
        <v>566</v>
      </c>
      <c r="E86" s="2" t="s">
        <v>570</v>
      </c>
      <c r="F86" s="2" t="s">
        <v>571</v>
      </c>
      <c r="G86" s="2">
        <v>0</v>
      </c>
      <c r="H86" s="2" t="s">
        <v>2178</v>
      </c>
      <c r="I86" s="2" t="s">
        <v>2178</v>
      </c>
      <c r="J86" s="2" t="s">
        <v>2178</v>
      </c>
      <c r="K86" s="2" t="s">
        <v>2178</v>
      </c>
      <c r="L86" s="2" t="s">
        <v>2183</v>
      </c>
      <c r="M86" s="2" t="s">
        <v>2180</v>
      </c>
      <c r="N86" s="2" t="s">
        <v>109</v>
      </c>
      <c r="O86" s="2" t="s">
        <v>2181</v>
      </c>
    </row>
    <row r="87" spans="1:15" ht="28.5">
      <c r="A87" s="2" t="s">
        <v>573</v>
      </c>
      <c r="B87" s="2" t="s">
        <v>96</v>
      </c>
      <c r="C87" s="2" t="s">
        <v>564</v>
      </c>
      <c r="D87" s="2" t="s">
        <v>574</v>
      </c>
      <c r="E87" s="2" t="s">
        <v>576</v>
      </c>
      <c r="F87" s="2" t="s">
        <v>571</v>
      </c>
      <c r="G87" s="2">
        <v>0</v>
      </c>
      <c r="H87" s="2" t="s">
        <v>2178</v>
      </c>
      <c r="I87" s="2" t="s">
        <v>2178</v>
      </c>
      <c r="J87" s="2" t="s">
        <v>2178</v>
      </c>
      <c r="K87" s="2" t="s">
        <v>2178</v>
      </c>
      <c r="L87" s="2" t="s">
        <v>2183</v>
      </c>
      <c r="M87" s="2" t="s">
        <v>2180</v>
      </c>
      <c r="N87" s="2" t="s">
        <v>109</v>
      </c>
      <c r="O87" s="2" t="s">
        <v>2181</v>
      </c>
    </row>
    <row r="88" spans="1:15" ht="28.5">
      <c r="A88" s="2" t="s">
        <v>578</v>
      </c>
      <c r="B88" s="2" t="s">
        <v>96</v>
      </c>
      <c r="C88" s="2" t="s">
        <v>564</v>
      </c>
      <c r="D88" s="2" t="s">
        <v>579</v>
      </c>
      <c r="E88" s="2" t="s">
        <v>581</v>
      </c>
      <c r="F88" s="2" t="s">
        <v>571</v>
      </c>
      <c r="G88" s="2">
        <v>0</v>
      </c>
      <c r="H88" s="2" t="s">
        <v>2178</v>
      </c>
      <c r="I88" s="2" t="s">
        <v>2178</v>
      </c>
      <c r="J88" s="2" t="s">
        <v>2178</v>
      </c>
      <c r="K88" s="2" t="s">
        <v>2178</v>
      </c>
      <c r="L88" s="2" t="s">
        <v>2183</v>
      </c>
      <c r="M88" s="2" t="s">
        <v>2180</v>
      </c>
      <c r="N88" s="2" t="s">
        <v>109</v>
      </c>
      <c r="O88" s="2" t="s">
        <v>2181</v>
      </c>
    </row>
    <row r="89" spans="1:15" ht="28.5">
      <c r="A89" s="2" t="s">
        <v>583</v>
      </c>
      <c r="B89" s="2" t="s">
        <v>96</v>
      </c>
      <c r="C89" s="2" t="s">
        <v>564</v>
      </c>
      <c r="D89" s="2" t="s">
        <v>584</v>
      </c>
      <c r="E89" s="2" t="s">
        <v>586</v>
      </c>
      <c r="F89" s="2" t="s">
        <v>571</v>
      </c>
      <c r="G89" s="2">
        <v>0</v>
      </c>
      <c r="H89" s="2" t="s">
        <v>2178</v>
      </c>
      <c r="I89" s="2" t="s">
        <v>2178</v>
      </c>
      <c r="J89" s="2" t="s">
        <v>2178</v>
      </c>
      <c r="K89" s="2" t="s">
        <v>2178</v>
      </c>
      <c r="L89" s="2" t="s">
        <v>2183</v>
      </c>
      <c r="M89" s="2" t="s">
        <v>2180</v>
      </c>
      <c r="N89" s="2" t="s">
        <v>109</v>
      </c>
      <c r="O89" s="2" t="s">
        <v>2181</v>
      </c>
    </row>
    <row r="90" spans="1:15" ht="28.5">
      <c r="A90" s="2" t="s">
        <v>588</v>
      </c>
      <c r="B90" s="2" t="s">
        <v>96</v>
      </c>
      <c r="C90" s="2" t="s">
        <v>564</v>
      </c>
      <c r="D90" s="2" t="s">
        <v>589</v>
      </c>
      <c r="E90" s="2" t="s">
        <v>592</v>
      </c>
      <c r="F90" s="2" t="s">
        <v>571</v>
      </c>
      <c r="G90" s="2">
        <v>0</v>
      </c>
      <c r="H90" s="2" t="s">
        <v>2178</v>
      </c>
      <c r="I90" s="2" t="s">
        <v>2178</v>
      </c>
      <c r="J90" s="2" t="s">
        <v>2178</v>
      </c>
      <c r="K90" s="2" t="s">
        <v>2178</v>
      </c>
      <c r="L90" s="2" t="s">
        <v>2183</v>
      </c>
      <c r="M90" s="2" t="s">
        <v>2180</v>
      </c>
      <c r="N90" s="2" t="s">
        <v>109</v>
      </c>
      <c r="O90" s="2" t="s">
        <v>2181</v>
      </c>
    </row>
    <row r="91" spans="1:15" ht="28.5">
      <c r="A91" s="2" t="s">
        <v>594</v>
      </c>
      <c r="B91" s="2" t="s">
        <v>96</v>
      </c>
      <c r="C91" s="2" t="s">
        <v>564</v>
      </c>
      <c r="D91" s="2" t="s">
        <v>595</v>
      </c>
      <c r="E91" s="2" t="s">
        <v>597</v>
      </c>
      <c r="F91" s="2" t="s">
        <v>571</v>
      </c>
      <c r="G91" s="2">
        <v>0</v>
      </c>
      <c r="H91" s="2" t="s">
        <v>2178</v>
      </c>
      <c r="I91" s="2" t="s">
        <v>2178</v>
      </c>
      <c r="J91" s="2" t="s">
        <v>2178</v>
      </c>
      <c r="K91" s="2" t="s">
        <v>2178</v>
      </c>
      <c r="L91" s="2" t="s">
        <v>2183</v>
      </c>
      <c r="M91" s="2" t="s">
        <v>2180</v>
      </c>
      <c r="N91" s="2" t="s">
        <v>109</v>
      </c>
      <c r="O91" s="2" t="s">
        <v>2181</v>
      </c>
    </row>
    <row r="92" spans="1:15" ht="28.5">
      <c r="A92" s="2" t="s">
        <v>599</v>
      </c>
      <c r="B92" s="2" t="s">
        <v>96</v>
      </c>
      <c r="C92" s="2" t="s">
        <v>564</v>
      </c>
      <c r="D92" s="2" t="s">
        <v>600</v>
      </c>
      <c r="E92" s="2" t="s">
        <v>602</v>
      </c>
      <c r="F92" s="2" t="s">
        <v>571</v>
      </c>
      <c r="G92" s="2">
        <v>0</v>
      </c>
      <c r="H92" s="2" t="s">
        <v>2178</v>
      </c>
      <c r="I92" s="2" t="s">
        <v>2178</v>
      </c>
      <c r="J92" s="2" t="s">
        <v>2178</v>
      </c>
      <c r="K92" s="2" t="s">
        <v>2178</v>
      </c>
      <c r="L92" s="2" t="s">
        <v>2183</v>
      </c>
      <c r="M92" s="2" t="s">
        <v>2180</v>
      </c>
      <c r="N92" s="2" t="s">
        <v>109</v>
      </c>
      <c r="O92" s="2" t="s">
        <v>2181</v>
      </c>
    </row>
    <row r="93" spans="1:15" ht="28.5">
      <c r="A93" s="2" t="s">
        <v>604</v>
      </c>
      <c r="B93" s="2" t="s">
        <v>96</v>
      </c>
      <c r="C93" s="2" t="s">
        <v>564</v>
      </c>
      <c r="D93" s="2" t="s">
        <v>605</v>
      </c>
      <c r="E93" s="2" t="s">
        <v>607</v>
      </c>
      <c r="F93" s="2" t="s">
        <v>571</v>
      </c>
      <c r="G93" s="2">
        <v>0</v>
      </c>
      <c r="H93" s="2" t="s">
        <v>2178</v>
      </c>
      <c r="I93" s="2" t="s">
        <v>2178</v>
      </c>
      <c r="J93" s="2" t="s">
        <v>2178</v>
      </c>
      <c r="K93" s="2" t="s">
        <v>2178</v>
      </c>
      <c r="L93" s="2" t="s">
        <v>2183</v>
      </c>
      <c r="M93" s="2" t="s">
        <v>2180</v>
      </c>
      <c r="N93" s="2" t="s">
        <v>109</v>
      </c>
      <c r="O93" s="2" t="s">
        <v>2181</v>
      </c>
    </row>
    <row r="94" spans="1:15" ht="28.5">
      <c r="A94" s="2" t="s">
        <v>609</v>
      </c>
      <c r="B94" s="2" t="s">
        <v>96</v>
      </c>
      <c r="C94" s="2" t="s">
        <v>564</v>
      </c>
      <c r="D94" s="2" t="s">
        <v>610</v>
      </c>
      <c r="E94" s="2" t="s">
        <v>612</v>
      </c>
      <c r="F94" s="2" t="s">
        <v>571</v>
      </c>
      <c r="G94" s="2">
        <v>0</v>
      </c>
      <c r="H94" s="2" t="s">
        <v>2178</v>
      </c>
      <c r="I94" s="2" t="s">
        <v>2178</v>
      </c>
      <c r="J94" s="2" t="s">
        <v>2178</v>
      </c>
      <c r="K94" s="2" t="s">
        <v>2178</v>
      </c>
      <c r="L94" s="2" t="s">
        <v>2183</v>
      </c>
      <c r="M94" s="2" t="s">
        <v>2180</v>
      </c>
      <c r="N94" s="2" t="s">
        <v>109</v>
      </c>
      <c r="O94" s="2" t="s">
        <v>2181</v>
      </c>
    </row>
    <row r="95" spans="1:15" ht="28.5">
      <c r="A95" s="2" t="s">
        <v>614</v>
      </c>
      <c r="B95" s="2" t="s">
        <v>96</v>
      </c>
      <c r="C95" s="2" t="s">
        <v>564</v>
      </c>
      <c r="D95" s="2" t="s">
        <v>615</v>
      </c>
      <c r="E95" s="2" t="s">
        <v>617</v>
      </c>
      <c r="F95" s="2" t="s">
        <v>571</v>
      </c>
      <c r="G95" s="2">
        <v>0</v>
      </c>
      <c r="H95" s="2" t="s">
        <v>2178</v>
      </c>
      <c r="I95" s="2" t="s">
        <v>2178</v>
      </c>
      <c r="J95" s="2" t="s">
        <v>2178</v>
      </c>
      <c r="K95" s="2" t="s">
        <v>2178</v>
      </c>
      <c r="L95" s="2" t="s">
        <v>2183</v>
      </c>
      <c r="M95" s="2" t="s">
        <v>2180</v>
      </c>
      <c r="N95" s="2" t="s">
        <v>109</v>
      </c>
      <c r="O95" s="2" t="s">
        <v>2181</v>
      </c>
    </row>
    <row r="96" spans="1:15" ht="28.5">
      <c r="A96" s="2" t="s">
        <v>618</v>
      </c>
      <c r="B96" s="2" t="s">
        <v>96</v>
      </c>
      <c r="C96" s="2" t="s">
        <v>564</v>
      </c>
      <c r="D96" s="2" t="s">
        <v>619</v>
      </c>
      <c r="E96" s="2" t="s">
        <v>622</v>
      </c>
      <c r="F96" s="2" t="s">
        <v>571</v>
      </c>
      <c r="G96" s="2">
        <v>0</v>
      </c>
      <c r="H96" s="2" t="s">
        <v>2178</v>
      </c>
      <c r="I96" s="2" t="s">
        <v>2178</v>
      </c>
      <c r="J96" s="2" t="s">
        <v>2178</v>
      </c>
      <c r="K96" s="2" t="s">
        <v>2178</v>
      </c>
      <c r="L96" s="2" t="s">
        <v>2183</v>
      </c>
      <c r="M96" s="2" t="s">
        <v>2180</v>
      </c>
      <c r="N96" s="2" t="s">
        <v>109</v>
      </c>
      <c r="O96" s="2" t="s">
        <v>2181</v>
      </c>
    </row>
    <row r="97" spans="1:15" ht="28.5">
      <c r="A97" s="2" t="s">
        <v>624</v>
      </c>
      <c r="B97" s="2" t="s">
        <v>96</v>
      </c>
      <c r="C97" s="2" t="s">
        <v>564</v>
      </c>
      <c r="D97" s="2" t="s">
        <v>625</v>
      </c>
      <c r="E97" s="2" t="s">
        <v>627</v>
      </c>
      <c r="F97" s="2" t="s">
        <v>571</v>
      </c>
      <c r="G97" s="2">
        <v>0</v>
      </c>
      <c r="H97" s="2" t="s">
        <v>2178</v>
      </c>
      <c r="I97" s="2" t="s">
        <v>2178</v>
      </c>
      <c r="J97" s="2" t="s">
        <v>2178</v>
      </c>
      <c r="K97" s="2" t="s">
        <v>2178</v>
      </c>
      <c r="L97" s="2" t="s">
        <v>2183</v>
      </c>
      <c r="M97" s="2" t="s">
        <v>2180</v>
      </c>
      <c r="N97" s="2" t="s">
        <v>109</v>
      </c>
      <c r="O97" s="2" t="s">
        <v>2181</v>
      </c>
    </row>
    <row r="98" spans="1:15" ht="28.5">
      <c r="A98" s="2" t="s">
        <v>629</v>
      </c>
      <c r="B98" s="2" t="s">
        <v>96</v>
      </c>
      <c r="C98" s="2" t="s">
        <v>564</v>
      </c>
      <c r="D98" s="2" t="s">
        <v>630</v>
      </c>
      <c r="E98" s="2" t="s">
        <v>632</v>
      </c>
      <c r="F98" s="2" t="s">
        <v>571</v>
      </c>
      <c r="G98" s="2">
        <v>0</v>
      </c>
      <c r="H98" s="2" t="s">
        <v>2178</v>
      </c>
      <c r="I98" s="2" t="s">
        <v>2178</v>
      </c>
      <c r="J98" s="2" t="s">
        <v>2178</v>
      </c>
      <c r="K98" s="2" t="s">
        <v>2178</v>
      </c>
      <c r="L98" s="2" t="s">
        <v>2183</v>
      </c>
      <c r="M98" s="2" t="s">
        <v>2180</v>
      </c>
      <c r="N98" s="2" t="s">
        <v>109</v>
      </c>
      <c r="O98" s="2" t="s">
        <v>2181</v>
      </c>
    </row>
    <row r="99" spans="1:15" ht="28.5">
      <c r="A99" s="2" t="s">
        <v>634</v>
      </c>
      <c r="B99" s="2" t="s">
        <v>96</v>
      </c>
      <c r="C99" s="2" t="s">
        <v>564</v>
      </c>
      <c r="D99" s="2" t="s">
        <v>635</v>
      </c>
      <c r="E99" s="2" t="s">
        <v>637</v>
      </c>
      <c r="F99" s="2" t="s">
        <v>571</v>
      </c>
      <c r="G99" s="2">
        <v>0</v>
      </c>
      <c r="H99" s="2" t="s">
        <v>2178</v>
      </c>
      <c r="I99" s="2" t="s">
        <v>2178</v>
      </c>
      <c r="J99" s="2" t="s">
        <v>2178</v>
      </c>
      <c r="K99" s="2" t="s">
        <v>2178</v>
      </c>
      <c r="L99" s="2" t="s">
        <v>2183</v>
      </c>
      <c r="M99" s="2" t="s">
        <v>2180</v>
      </c>
      <c r="N99" s="2" t="s">
        <v>109</v>
      </c>
      <c r="O99" s="2" t="s">
        <v>2181</v>
      </c>
    </row>
    <row r="100" spans="1:15" ht="28.5">
      <c r="A100" s="2" t="s">
        <v>639</v>
      </c>
      <c r="B100" s="2" t="s">
        <v>96</v>
      </c>
      <c r="C100" s="2" t="s">
        <v>564</v>
      </c>
      <c r="D100" s="2" t="s">
        <v>640</v>
      </c>
      <c r="E100" s="2" t="s">
        <v>642</v>
      </c>
      <c r="F100" s="2" t="s">
        <v>571</v>
      </c>
      <c r="G100" s="2">
        <v>0</v>
      </c>
      <c r="H100" s="2" t="s">
        <v>2178</v>
      </c>
      <c r="I100" s="2" t="s">
        <v>2178</v>
      </c>
      <c r="J100" s="2" t="s">
        <v>2178</v>
      </c>
      <c r="K100" s="2" t="s">
        <v>2178</v>
      </c>
      <c r="L100" s="2" t="s">
        <v>2183</v>
      </c>
      <c r="M100" s="2" t="s">
        <v>2180</v>
      </c>
      <c r="N100" s="2" t="s">
        <v>109</v>
      </c>
      <c r="O100" s="2" t="s">
        <v>2181</v>
      </c>
    </row>
    <row r="101" spans="1:15" ht="28.5">
      <c r="A101" s="2" t="s">
        <v>644</v>
      </c>
      <c r="B101" s="2" t="s">
        <v>96</v>
      </c>
      <c r="C101" s="2" t="s">
        <v>564</v>
      </c>
      <c r="D101" s="2" t="s">
        <v>645</v>
      </c>
      <c r="E101" s="2" t="s">
        <v>647</v>
      </c>
      <c r="F101" s="2" t="s">
        <v>571</v>
      </c>
      <c r="G101" s="2">
        <v>0</v>
      </c>
      <c r="H101" s="2" t="s">
        <v>2178</v>
      </c>
      <c r="I101" s="2" t="s">
        <v>2178</v>
      </c>
      <c r="J101" s="2" t="s">
        <v>2178</v>
      </c>
      <c r="K101" s="2" t="s">
        <v>2178</v>
      </c>
      <c r="L101" s="2" t="s">
        <v>2183</v>
      </c>
      <c r="M101" s="2" t="s">
        <v>2180</v>
      </c>
      <c r="N101" s="2" t="s">
        <v>109</v>
      </c>
      <c r="O101" s="2" t="s">
        <v>2181</v>
      </c>
    </row>
    <row r="102" spans="1:15" ht="28.5">
      <c r="A102" s="2" t="s">
        <v>649</v>
      </c>
      <c r="B102" s="2" t="s">
        <v>650</v>
      </c>
      <c r="C102" s="2" t="s">
        <v>97</v>
      </c>
      <c r="D102" s="2" t="s">
        <v>652</v>
      </c>
      <c r="E102" s="2" t="s">
        <v>655</v>
      </c>
      <c r="F102" s="2" t="s">
        <v>255</v>
      </c>
      <c r="G102" s="2">
        <v>0</v>
      </c>
      <c r="H102" s="2" t="s">
        <v>2178</v>
      </c>
      <c r="I102" s="2" t="s">
        <v>2178</v>
      </c>
      <c r="J102" s="2" t="s">
        <v>2178</v>
      </c>
      <c r="K102" s="2" t="s">
        <v>2178</v>
      </c>
      <c r="L102" s="2" t="s">
        <v>2179</v>
      </c>
      <c r="M102" s="2" t="s">
        <v>2180</v>
      </c>
      <c r="N102" s="2" t="s">
        <v>109</v>
      </c>
      <c r="O102" s="2" t="s">
        <v>2181</v>
      </c>
    </row>
    <row r="103" spans="1:15" ht="28.5">
      <c r="A103" s="2" t="s">
        <v>657</v>
      </c>
      <c r="B103" s="2" t="s">
        <v>650</v>
      </c>
      <c r="C103" s="2" t="s">
        <v>97</v>
      </c>
      <c r="D103" s="2" t="s">
        <v>658</v>
      </c>
      <c r="E103" s="2" t="s">
        <v>660</v>
      </c>
      <c r="F103" s="2" t="s">
        <v>255</v>
      </c>
      <c r="G103" s="2">
        <v>0</v>
      </c>
      <c r="H103" s="2" t="s">
        <v>2178</v>
      </c>
      <c r="I103" s="2" t="s">
        <v>2178</v>
      </c>
      <c r="J103" s="2" t="s">
        <v>2178</v>
      </c>
      <c r="K103" s="2" t="s">
        <v>2178</v>
      </c>
      <c r="L103" s="2" t="s">
        <v>2179</v>
      </c>
      <c r="M103" s="2" t="s">
        <v>2180</v>
      </c>
      <c r="N103" s="2" t="s">
        <v>109</v>
      </c>
      <c r="O103" s="2" t="s">
        <v>2181</v>
      </c>
    </row>
    <row r="104" spans="1:15" ht="28.5">
      <c r="A104" s="2" t="s">
        <v>661</v>
      </c>
      <c r="B104" s="2" t="s">
        <v>650</v>
      </c>
      <c r="C104" s="2" t="s">
        <v>97</v>
      </c>
      <c r="D104" s="2" t="s">
        <v>662</v>
      </c>
      <c r="E104" s="2" t="s">
        <v>665</v>
      </c>
      <c r="F104" s="2" t="s">
        <v>255</v>
      </c>
      <c r="G104" s="2">
        <v>0</v>
      </c>
      <c r="H104" s="2" t="s">
        <v>2178</v>
      </c>
      <c r="I104" s="2" t="s">
        <v>2178</v>
      </c>
      <c r="J104" s="2" t="s">
        <v>2178</v>
      </c>
      <c r="K104" s="2" t="s">
        <v>2178</v>
      </c>
      <c r="L104" s="2" t="s">
        <v>2179</v>
      </c>
      <c r="M104" s="2" t="s">
        <v>2180</v>
      </c>
      <c r="N104" s="2" t="s">
        <v>109</v>
      </c>
      <c r="O104" s="2" t="s">
        <v>2181</v>
      </c>
    </row>
    <row r="105" spans="1:15" ht="28.5">
      <c r="A105" s="2" t="s">
        <v>667</v>
      </c>
      <c r="B105" s="2" t="s">
        <v>650</v>
      </c>
      <c r="C105" s="2" t="s">
        <v>97</v>
      </c>
      <c r="D105" s="2" t="s">
        <v>668</v>
      </c>
      <c r="E105" s="2" t="s">
        <v>670</v>
      </c>
      <c r="F105" s="2" t="s">
        <v>255</v>
      </c>
      <c r="G105" s="2">
        <v>0</v>
      </c>
      <c r="H105" s="2" t="s">
        <v>2178</v>
      </c>
      <c r="I105" s="2" t="s">
        <v>2178</v>
      </c>
      <c r="J105" s="2" t="s">
        <v>2178</v>
      </c>
      <c r="K105" s="2" t="s">
        <v>2178</v>
      </c>
      <c r="L105" s="2" t="s">
        <v>2179</v>
      </c>
      <c r="M105" s="2" t="s">
        <v>2180</v>
      </c>
      <c r="N105" s="2" t="s">
        <v>109</v>
      </c>
      <c r="O105" s="2" t="s">
        <v>2181</v>
      </c>
    </row>
    <row r="106" spans="1:15" ht="28.5">
      <c r="A106" s="2" t="s">
        <v>671</v>
      </c>
      <c r="B106" s="2" t="s">
        <v>650</v>
      </c>
      <c r="C106" s="2" t="s">
        <v>97</v>
      </c>
      <c r="D106" s="2" t="s">
        <v>673</v>
      </c>
      <c r="E106" s="2" t="s">
        <v>676</v>
      </c>
      <c r="F106" s="2" t="s">
        <v>255</v>
      </c>
      <c r="G106" s="2">
        <v>0</v>
      </c>
      <c r="H106" s="2" t="s">
        <v>2178</v>
      </c>
      <c r="I106" s="2" t="s">
        <v>2178</v>
      </c>
      <c r="J106" s="2" t="s">
        <v>2178</v>
      </c>
      <c r="K106" s="2" t="s">
        <v>2178</v>
      </c>
      <c r="L106" s="2" t="s">
        <v>2179</v>
      </c>
      <c r="M106" s="2" t="s">
        <v>2180</v>
      </c>
      <c r="N106" s="2" t="s">
        <v>109</v>
      </c>
      <c r="O106" s="2" t="s">
        <v>2181</v>
      </c>
    </row>
    <row r="107" spans="1:15" ht="28.5">
      <c r="A107" s="2" t="s">
        <v>678</v>
      </c>
      <c r="B107" s="2" t="s">
        <v>650</v>
      </c>
      <c r="C107" s="2" t="s">
        <v>97</v>
      </c>
      <c r="D107" s="2" t="s">
        <v>679</v>
      </c>
      <c r="E107" s="2" t="s">
        <v>681</v>
      </c>
      <c r="F107" s="2" t="s">
        <v>255</v>
      </c>
      <c r="G107" s="2">
        <v>0</v>
      </c>
      <c r="H107" s="2" t="s">
        <v>2178</v>
      </c>
      <c r="I107" s="2" t="s">
        <v>2178</v>
      </c>
      <c r="J107" s="2" t="s">
        <v>2178</v>
      </c>
      <c r="K107" s="2" t="s">
        <v>2178</v>
      </c>
      <c r="L107" s="2" t="s">
        <v>2179</v>
      </c>
      <c r="M107" s="2" t="s">
        <v>2180</v>
      </c>
      <c r="N107" s="2" t="s">
        <v>109</v>
      </c>
      <c r="O107" s="2" t="s">
        <v>2181</v>
      </c>
    </row>
    <row r="108" spans="1:15" ht="28.5">
      <c r="A108" s="2" t="s">
        <v>682</v>
      </c>
      <c r="B108" s="2" t="s">
        <v>650</v>
      </c>
      <c r="C108" s="2" t="s">
        <v>97</v>
      </c>
      <c r="D108" s="2" t="s">
        <v>683</v>
      </c>
      <c r="E108" s="2" t="s">
        <v>685</v>
      </c>
      <c r="F108" s="2" t="s">
        <v>255</v>
      </c>
      <c r="G108" s="2">
        <v>0</v>
      </c>
      <c r="H108" s="2" t="s">
        <v>2178</v>
      </c>
      <c r="I108" s="2" t="s">
        <v>2178</v>
      </c>
      <c r="J108" s="2" t="s">
        <v>2178</v>
      </c>
      <c r="K108" s="2" t="s">
        <v>2178</v>
      </c>
      <c r="L108" s="2" t="s">
        <v>2179</v>
      </c>
      <c r="M108" s="2" t="s">
        <v>2180</v>
      </c>
      <c r="N108" s="2" t="s">
        <v>109</v>
      </c>
      <c r="O108" s="2" t="s">
        <v>2181</v>
      </c>
    </row>
    <row r="109" spans="1:15" ht="28.5">
      <c r="A109" s="2" t="s">
        <v>687</v>
      </c>
      <c r="B109" s="2" t="s">
        <v>650</v>
      </c>
      <c r="C109" s="2" t="s">
        <v>97</v>
      </c>
      <c r="D109" s="2" t="s">
        <v>688</v>
      </c>
      <c r="E109" s="2" t="s">
        <v>691</v>
      </c>
      <c r="F109" s="2" t="s">
        <v>255</v>
      </c>
      <c r="G109" s="2">
        <v>0</v>
      </c>
      <c r="H109" s="2" t="s">
        <v>2178</v>
      </c>
      <c r="I109" s="2" t="s">
        <v>2178</v>
      </c>
      <c r="J109" s="2" t="s">
        <v>2178</v>
      </c>
      <c r="K109" s="2" t="s">
        <v>2178</v>
      </c>
      <c r="L109" s="2" t="s">
        <v>2179</v>
      </c>
      <c r="M109" s="2" t="s">
        <v>2180</v>
      </c>
      <c r="N109" s="2" t="s">
        <v>109</v>
      </c>
      <c r="O109" s="2" t="s">
        <v>2181</v>
      </c>
    </row>
    <row r="110" spans="1:15" ht="28.5">
      <c r="A110" s="2" t="s">
        <v>693</v>
      </c>
      <c r="B110" s="2" t="s">
        <v>650</v>
      </c>
      <c r="C110" s="2" t="s">
        <v>97</v>
      </c>
      <c r="D110" s="2" t="s">
        <v>694</v>
      </c>
      <c r="E110" s="2" t="s">
        <v>696</v>
      </c>
      <c r="F110" s="2" t="s">
        <v>255</v>
      </c>
      <c r="G110" s="2">
        <v>0</v>
      </c>
      <c r="H110" s="2" t="s">
        <v>2178</v>
      </c>
      <c r="I110" s="2" t="s">
        <v>2178</v>
      </c>
      <c r="J110" s="2" t="s">
        <v>2178</v>
      </c>
      <c r="K110" s="2" t="s">
        <v>2178</v>
      </c>
      <c r="L110" s="2" t="s">
        <v>2179</v>
      </c>
      <c r="M110" s="2" t="s">
        <v>2180</v>
      </c>
      <c r="N110" s="2" t="s">
        <v>109</v>
      </c>
      <c r="O110" s="2" t="s">
        <v>2181</v>
      </c>
    </row>
    <row r="111" spans="1:15" ht="28.5">
      <c r="A111" s="2" t="s">
        <v>698</v>
      </c>
      <c r="B111" s="2" t="s">
        <v>650</v>
      </c>
      <c r="C111" s="2" t="s">
        <v>97</v>
      </c>
      <c r="D111" s="2" t="s">
        <v>699</v>
      </c>
      <c r="E111" s="2" t="s">
        <v>701</v>
      </c>
      <c r="F111" s="2" t="s">
        <v>255</v>
      </c>
      <c r="G111" s="2">
        <v>0</v>
      </c>
      <c r="H111" s="2" t="s">
        <v>2178</v>
      </c>
      <c r="I111" s="2" t="s">
        <v>2178</v>
      </c>
      <c r="J111" s="2" t="s">
        <v>2178</v>
      </c>
      <c r="K111" s="2" t="s">
        <v>2178</v>
      </c>
      <c r="L111" s="2" t="s">
        <v>2179</v>
      </c>
      <c r="M111" s="2" t="s">
        <v>2180</v>
      </c>
      <c r="N111" s="2" t="s">
        <v>109</v>
      </c>
      <c r="O111" s="2" t="s">
        <v>2181</v>
      </c>
    </row>
    <row r="112" spans="1:15" ht="28.5">
      <c r="A112" s="2" t="s">
        <v>702</v>
      </c>
      <c r="B112" s="2" t="s">
        <v>650</v>
      </c>
      <c r="C112" s="2" t="s">
        <v>97</v>
      </c>
      <c r="D112" s="2" t="s">
        <v>703</v>
      </c>
      <c r="E112" s="2" t="s">
        <v>705</v>
      </c>
      <c r="F112" s="2" t="s">
        <v>255</v>
      </c>
      <c r="G112" s="2">
        <v>0</v>
      </c>
      <c r="H112" s="2" t="s">
        <v>2178</v>
      </c>
      <c r="I112" s="2" t="s">
        <v>2178</v>
      </c>
      <c r="J112" s="2" t="s">
        <v>2178</v>
      </c>
      <c r="K112" s="2" t="s">
        <v>2178</v>
      </c>
      <c r="L112" s="2" t="s">
        <v>2179</v>
      </c>
      <c r="M112" s="2" t="s">
        <v>2180</v>
      </c>
      <c r="N112" s="2" t="s">
        <v>109</v>
      </c>
      <c r="O112" s="2" t="s">
        <v>2181</v>
      </c>
    </row>
    <row r="113" spans="1:15" ht="28.5">
      <c r="A113" s="2" t="s">
        <v>707</v>
      </c>
      <c r="B113" s="2" t="s">
        <v>650</v>
      </c>
      <c r="C113" s="2" t="s">
        <v>97</v>
      </c>
      <c r="D113" s="2" t="s">
        <v>708</v>
      </c>
      <c r="E113" s="2" t="s">
        <v>710</v>
      </c>
      <c r="F113" s="2" t="s">
        <v>255</v>
      </c>
      <c r="G113" s="2">
        <v>0</v>
      </c>
      <c r="H113" s="2" t="s">
        <v>2178</v>
      </c>
      <c r="I113" s="2" t="s">
        <v>2178</v>
      </c>
      <c r="J113" s="2" t="s">
        <v>2178</v>
      </c>
      <c r="K113" s="2" t="s">
        <v>2178</v>
      </c>
      <c r="L113" s="2" t="s">
        <v>2179</v>
      </c>
      <c r="M113" s="2" t="s">
        <v>2180</v>
      </c>
      <c r="N113" s="2" t="s">
        <v>109</v>
      </c>
      <c r="O113" s="2" t="s">
        <v>2181</v>
      </c>
    </row>
    <row r="114" spans="1:15" ht="28.5">
      <c r="A114" s="2" t="s">
        <v>712</v>
      </c>
      <c r="B114" s="2" t="s">
        <v>650</v>
      </c>
      <c r="C114" s="2" t="s">
        <v>97</v>
      </c>
      <c r="D114" s="2" t="s">
        <v>713</v>
      </c>
      <c r="E114" s="2" t="s">
        <v>715</v>
      </c>
      <c r="F114" s="2" t="s">
        <v>255</v>
      </c>
      <c r="G114" s="2">
        <v>0</v>
      </c>
      <c r="H114" s="2" t="s">
        <v>2178</v>
      </c>
      <c r="I114" s="2" t="s">
        <v>2178</v>
      </c>
      <c r="J114" s="2" t="s">
        <v>2178</v>
      </c>
      <c r="K114" s="2" t="s">
        <v>2178</v>
      </c>
      <c r="L114" s="2" t="s">
        <v>2179</v>
      </c>
      <c r="M114" s="2" t="s">
        <v>2180</v>
      </c>
      <c r="N114" s="2" t="s">
        <v>109</v>
      </c>
      <c r="O114" s="2" t="s">
        <v>2181</v>
      </c>
    </row>
    <row r="115" spans="1:15" ht="28.5">
      <c r="A115" s="2" t="s">
        <v>716</v>
      </c>
      <c r="B115" s="2" t="s">
        <v>650</v>
      </c>
      <c r="C115" s="2" t="s">
        <v>97</v>
      </c>
      <c r="D115" s="2" t="s">
        <v>717</v>
      </c>
      <c r="E115" s="2" t="s">
        <v>720</v>
      </c>
      <c r="F115" s="2" t="s">
        <v>255</v>
      </c>
      <c r="G115" s="2">
        <v>0</v>
      </c>
      <c r="H115" s="2" t="s">
        <v>2178</v>
      </c>
      <c r="I115" s="2" t="s">
        <v>2178</v>
      </c>
      <c r="J115" s="2" t="s">
        <v>2178</v>
      </c>
      <c r="K115" s="2" t="s">
        <v>2178</v>
      </c>
      <c r="L115" s="2" t="s">
        <v>2179</v>
      </c>
      <c r="M115" s="2" t="s">
        <v>2180</v>
      </c>
      <c r="N115" s="2" t="s">
        <v>109</v>
      </c>
      <c r="O115" s="2" t="s">
        <v>2181</v>
      </c>
    </row>
    <row r="116" spans="1:15" ht="28.5">
      <c r="A116" s="2" t="s">
        <v>722</v>
      </c>
      <c r="B116" s="2" t="s">
        <v>650</v>
      </c>
      <c r="C116" s="2" t="s">
        <v>97</v>
      </c>
      <c r="D116" s="2" t="s">
        <v>723</v>
      </c>
      <c r="E116" s="2" t="s">
        <v>725</v>
      </c>
      <c r="F116" s="2" t="s">
        <v>255</v>
      </c>
      <c r="G116" s="2">
        <v>0</v>
      </c>
      <c r="H116" s="2" t="s">
        <v>2178</v>
      </c>
      <c r="I116" s="2" t="s">
        <v>2178</v>
      </c>
      <c r="J116" s="2" t="s">
        <v>2178</v>
      </c>
      <c r="K116" s="2" t="s">
        <v>2178</v>
      </c>
      <c r="L116" s="2" t="s">
        <v>2179</v>
      </c>
      <c r="M116" s="2" t="s">
        <v>2180</v>
      </c>
      <c r="N116" s="2" t="s">
        <v>109</v>
      </c>
      <c r="O116" s="2" t="s">
        <v>2181</v>
      </c>
    </row>
    <row r="117" spans="1:15" ht="28.5">
      <c r="A117" s="2" t="s">
        <v>726</v>
      </c>
      <c r="B117" s="2" t="s">
        <v>650</v>
      </c>
      <c r="C117" s="2" t="s">
        <v>97</v>
      </c>
      <c r="D117" s="2" t="s">
        <v>727</v>
      </c>
      <c r="E117" s="2" t="s">
        <v>729</v>
      </c>
      <c r="F117" s="2" t="s">
        <v>255</v>
      </c>
      <c r="G117" s="2">
        <v>0</v>
      </c>
      <c r="H117" s="2" t="s">
        <v>2178</v>
      </c>
      <c r="I117" s="2" t="s">
        <v>2178</v>
      </c>
      <c r="J117" s="2" t="s">
        <v>2178</v>
      </c>
      <c r="K117" s="2" t="s">
        <v>2178</v>
      </c>
      <c r="L117" s="2" t="s">
        <v>2179</v>
      </c>
      <c r="M117" s="2" t="s">
        <v>2180</v>
      </c>
      <c r="N117" s="2" t="s">
        <v>109</v>
      </c>
      <c r="O117" s="2" t="s">
        <v>2181</v>
      </c>
    </row>
    <row r="118" spans="1:15" ht="28.5">
      <c r="A118" s="2" t="s">
        <v>730</v>
      </c>
      <c r="B118" s="2" t="s">
        <v>650</v>
      </c>
      <c r="C118" s="2" t="s">
        <v>97</v>
      </c>
      <c r="D118" s="2" t="s">
        <v>731</v>
      </c>
      <c r="E118" s="2" t="s">
        <v>734</v>
      </c>
      <c r="F118" s="2" t="s">
        <v>255</v>
      </c>
      <c r="G118" s="2">
        <v>0</v>
      </c>
      <c r="H118" s="2" t="s">
        <v>2178</v>
      </c>
      <c r="I118" s="2" t="s">
        <v>2178</v>
      </c>
      <c r="J118" s="2" t="s">
        <v>2178</v>
      </c>
      <c r="K118" s="2" t="s">
        <v>2178</v>
      </c>
      <c r="L118" s="2" t="s">
        <v>2179</v>
      </c>
      <c r="M118" s="2" t="s">
        <v>2180</v>
      </c>
      <c r="N118" s="2" t="s">
        <v>109</v>
      </c>
      <c r="O118" s="2" t="s">
        <v>2181</v>
      </c>
    </row>
    <row r="119" spans="1:15" ht="28.5">
      <c r="A119" s="2" t="s">
        <v>736</v>
      </c>
      <c r="B119" s="2" t="s">
        <v>650</v>
      </c>
      <c r="C119" s="2" t="s">
        <v>97</v>
      </c>
      <c r="D119" s="2" t="s">
        <v>737</v>
      </c>
      <c r="E119" s="2" t="s">
        <v>739</v>
      </c>
      <c r="F119" s="2" t="s">
        <v>255</v>
      </c>
      <c r="G119" s="2">
        <v>0</v>
      </c>
      <c r="H119" s="2" t="s">
        <v>2178</v>
      </c>
      <c r="I119" s="2" t="s">
        <v>2178</v>
      </c>
      <c r="J119" s="2" t="s">
        <v>2178</v>
      </c>
      <c r="K119" s="2" t="s">
        <v>2178</v>
      </c>
      <c r="L119" s="2" t="s">
        <v>2179</v>
      </c>
      <c r="M119" s="2" t="s">
        <v>2180</v>
      </c>
      <c r="N119" s="2" t="s">
        <v>109</v>
      </c>
      <c r="O119" s="2" t="s">
        <v>2181</v>
      </c>
    </row>
    <row r="120" spans="1:15" ht="28.5">
      <c r="A120" s="2" t="s">
        <v>740</v>
      </c>
      <c r="B120" s="2" t="s">
        <v>650</v>
      </c>
      <c r="C120" s="2" t="s">
        <v>97</v>
      </c>
      <c r="D120" s="2" t="s">
        <v>741</v>
      </c>
      <c r="E120" s="2" t="s">
        <v>744</v>
      </c>
      <c r="F120" s="2" t="s">
        <v>255</v>
      </c>
      <c r="G120" s="2">
        <v>0</v>
      </c>
      <c r="H120" s="2" t="s">
        <v>2178</v>
      </c>
      <c r="I120" s="2" t="s">
        <v>2178</v>
      </c>
      <c r="J120" s="2" t="s">
        <v>2178</v>
      </c>
      <c r="K120" s="2" t="s">
        <v>2178</v>
      </c>
      <c r="L120" s="2" t="s">
        <v>2179</v>
      </c>
      <c r="M120" s="2" t="s">
        <v>2180</v>
      </c>
      <c r="N120" s="2" t="s">
        <v>109</v>
      </c>
      <c r="O120" s="2" t="s">
        <v>2181</v>
      </c>
    </row>
    <row r="121" spans="1:15" ht="28.5">
      <c r="A121" s="2" t="s">
        <v>746</v>
      </c>
      <c r="B121" s="2" t="s">
        <v>650</v>
      </c>
      <c r="C121" s="2" t="s">
        <v>97</v>
      </c>
      <c r="D121" s="2" t="s">
        <v>747</v>
      </c>
      <c r="E121" s="2" t="s">
        <v>749</v>
      </c>
      <c r="F121" s="2" t="s">
        <v>255</v>
      </c>
      <c r="G121" s="2">
        <v>0</v>
      </c>
      <c r="H121" s="2" t="s">
        <v>2178</v>
      </c>
      <c r="I121" s="2" t="s">
        <v>2178</v>
      </c>
      <c r="J121" s="2" t="s">
        <v>2178</v>
      </c>
      <c r="K121" s="2" t="s">
        <v>2178</v>
      </c>
      <c r="L121" s="2" t="s">
        <v>2179</v>
      </c>
      <c r="M121" s="2" t="s">
        <v>2180</v>
      </c>
      <c r="N121" s="2" t="s">
        <v>109</v>
      </c>
      <c r="O121" s="2" t="s">
        <v>2181</v>
      </c>
    </row>
    <row r="122" spans="1:15" ht="28.5">
      <c r="A122" s="2" t="s">
        <v>751</v>
      </c>
      <c r="B122" s="2" t="s">
        <v>650</v>
      </c>
      <c r="C122" s="2" t="s">
        <v>97</v>
      </c>
      <c r="D122" s="2" t="s">
        <v>752</v>
      </c>
      <c r="E122" s="2" t="s">
        <v>755</v>
      </c>
      <c r="F122" s="2" t="s">
        <v>255</v>
      </c>
      <c r="G122" s="2">
        <v>0</v>
      </c>
      <c r="H122" s="2" t="s">
        <v>2178</v>
      </c>
      <c r="I122" s="2" t="s">
        <v>2178</v>
      </c>
      <c r="J122" s="2" t="s">
        <v>2178</v>
      </c>
      <c r="K122" s="2" t="s">
        <v>2178</v>
      </c>
      <c r="L122" s="2" t="s">
        <v>2179</v>
      </c>
      <c r="M122" s="2" t="s">
        <v>2180</v>
      </c>
      <c r="N122" s="2" t="s">
        <v>109</v>
      </c>
      <c r="O122" s="2" t="s">
        <v>2181</v>
      </c>
    </row>
    <row r="123" spans="1:15" ht="28.5">
      <c r="A123" s="2" t="s">
        <v>757</v>
      </c>
      <c r="B123" s="2" t="s">
        <v>650</v>
      </c>
      <c r="C123" s="2" t="s">
        <v>97</v>
      </c>
      <c r="D123" s="2" t="s">
        <v>758</v>
      </c>
      <c r="E123" s="2" t="s">
        <v>761</v>
      </c>
      <c r="F123" s="2" t="s">
        <v>255</v>
      </c>
      <c r="G123" s="2">
        <v>0</v>
      </c>
      <c r="H123" s="2" t="s">
        <v>2178</v>
      </c>
      <c r="I123" s="2" t="s">
        <v>2178</v>
      </c>
      <c r="J123" s="2" t="s">
        <v>2178</v>
      </c>
      <c r="K123" s="2" t="s">
        <v>2178</v>
      </c>
      <c r="L123" s="2" t="s">
        <v>2179</v>
      </c>
      <c r="M123" s="2" t="s">
        <v>2180</v>
      </c>
      <c r="N123" s="2" t="s">
        <v>109</v>
      </c>
      <c r="O123" s="2" t="s">
        <v>2181</v>
      </c>
    </row>
    <row r="124" spans="1:15" ht="28.5">
      <c r="A124" s="2" t="s">
        <v>763</v>
      </c>
      <c r="B124" s="2" t="s">
        <v>650</v>
      </c>
      <c r="C124" s="2" t="s">
        <v>97</v>
      </c>
      <c r="D124" s="2" t="s">
        <v>764</v>
      </c>
      <c r="E124" s="2" t="s">
        <v>766</v>
      </c>
      <c r="F124" s="2" t="s">
        <v>255</v>
      </c>
      <c r="G124" s="2">
        <v>0</v>
      </c>
      <c r="H124" s="2" t="s">
        <v>2178</v>
      </c>
      <c r="I124" s="2" t="s">
        <v>2178</v>
      </c>
      <c r="J124" s="2" t="s">
        <v>2178</v>
      </c>
      <c r="K124" s="2" t="s">
        <v>2178</v>
      </c>
      <c r="L124" s="2" t="s">
        <v>2179</v>
      </c>
      <c r="M124" s="2" t="s">
        <v>2180</v>
      </c>
      <c r="N124" s="2" t="s">
        <v>109</v>
      </c>
      <c r="O124" s="2" t="s">
        <v>2181</v>
      </c>
    </row>
    <row r="125" spans="1:15" ht="28.5">
      <c r="A125" s="2" t="s">
        <v>767</v>
      </c>
      <c r="B125" s="2" t="s">
        <v>650</v>
      </c>
      <c r="C125" s="2" t="s">
        <v>97</v>
      </c>
      <c r="D125" s="2" t="s">
        <v>768</v>
      </c>
      <c r="E125" s="2" t="s">
        <v>771</v>
      </c>
      <c r="F125" s="2" t="s">
        <v>255</v>
      </c>
      <c r="G125" s="2">
        <v>0</v>
      </c>
      <c r="H125" s="2" t="s">
        <v>2178</v>
      </c>
      <c r="I125" s="2" t="s">
        <v>2178</v>
      </c>
      <c r="J125" s="2" t="s">
        <v>2178</v>
      </c>
      <c r="K125" s="2" t="s">
        <v>2178</v>
      </c>
      <c r="L125" s="2" t="s">
        <v>2179</v>
      </c>
      <c r="M125" s="2" t="s">
        <v>2180</v>
      </c>
      <c r="N125" s="2" t="s">
        <v>109</v>
      </c>
      <c r="O125" s="2" t="s">
        <v>2181</v>
      </c>
    </row>
    <row r="126" spans="1:15" ht="28.5">
      <c r="A126" s="2" t="s">
        <v>773</v>
      </c>
      <c r="B126" s="2" t="s">
        <v>650</v>
      </c>
      <c r="C126" s="2" t="s">
        <v>97</v>
      </c>
      <c r="D126" s="2" t="s">
        <v>774</v>
      </c>
      <c r="E126" s="2" t="s">
        <v>776</v>
      </c>
      <c r="F126" s="2" t="s">
        <v>255</v>
      </c>
      <c r="G126" s="2">
        <v>0</v>
      </c>
      <c r="H126" s="2" t="s">
        <v>2178</v>
      </c>
      <c r="I126" s="2" t="s">
        <v>2178</v>
      </c>
      <c r="J126" s="2" t="s">
        <v>2178</v>
      </c>
      <c r="K126" s="2" t="s">
        <v>2178</v>
      </c>
      <c r="L126" s="2" t="s">
        <v>2179</v>
      </c>
      <c r="M126" s="2" t="s">
        <v>2180</v>
      </c>
      <c r="N126" s="2" t="s">
        <v>109</v>
      </c>
      <c r="O126" s="2" t="s">
        <v>2181</v>
      </c>
    </row>
    <row r="127" spans="1:15" ht="28.5">
      <c r="A127" s="2" t="s">
        <v>777</v>
      </c>
      <c r="B127" s="2" t="s">
        <v>650</v>
      </c>
      <c r="C127" s="2" t="s">
        <v>97</v>
      </c>
      <c r="D127" s="2" t="s">
        <v>778</v>
      </c>
      <c r="E127" s="2" t="s">
        <v>781</v>
      </c>
      <c r="F127" s="2" t="s">
        <v>255</v>
      </c>
      <c r="G127" s="2">
        <v>0</v>
      </c>
      <c r="H127" s="2" t="s">
        <v>2178</v>
      </c>
      <c r="I127" s="2" t="s">
        <v>2178</v>
      </c>
      <c r="J127" s="2" t="s">
        <v>2178</v>
      </c>
      <c r="K127" s="2" t="s">
        <v>2178</v>
      </c>
      <c r="L127" s="2" t="s">
        <v>2179</v>
      </c>
      <c r="M127" s="2" t="s">
        <v>2180</v>
      </c>
      <c r="N127" s="2" t="s">
        <v>109</v>
      </c>
      <c r="O127" s="2" t="s">
        <v>2181</v>
      </c>
    </row>
    <row r="128" spans="1:15" ht="28.5">
      <c r="A128" s="2" t="s">
        <v>783</v>
      </c>
      <c r="B128" s="2" t="s">
        <v>650</v>
      </c>
      <c r="C128" s="2" t="s">
        <v>97</v>
      </c>
      <c r="D128" s="2" t="s">
        <v>784</v>
      </c>
      <c r="E128" s="2" t="s">
        <v>786</v>
      </c>
      <c r="F128" s="2" t="s">
        <v>787</v>
      </c>
      <c r="G128" s="2">
        <v>11</v>
      </c>
      <c r="H128" s="2" t="s">
        <v>2184</v>
      </c>
      <c r="I128" s="2" t="s">
        <v>2184</v>
      </c>
      <c r="J128" s="2" t="s">
        <v>2184</v>
      </c>
      <c r="K128" s="2" t="s">
        <v>2184</v>
      </c>
      <c r="L128" s="2" t="s">
        <v>2179</v>
      </c>
      <c r="M128" s="2" t="s">
        <v>2185</v>
      </c>
      <c r="N128" s="2" t="s">
        <v>109</v>
      </c>
      <c r="O128" s="2" t="s">
        <v>2186</v>
      </c>
    </row>
    <row r="129" spans="1:15" ht="28.5">
      <c r="A129" s="2" t="s">
        <v>789</v>
      </c>
      <c r="B129" s="2" t="s">
        <v>650</v>
      </c>
      <c r="C129" s="2" t="s">
        <v>97</v>
      </c>
      <c r="D129" s="2" t="s">
        <v>790</v>
      </c>
      <c r="E129" s="2" t="s">
        <v>792</v>
      </c>
      <c r="F129" s="2" t="s">
        <v>787</v>
      </c>
      <c r="G129" s="2">
        <v>13</v>
      </c>
      <c r="H129" s="2" t="s">
        <v>2184</v>
      </c>
      <c r="I129" s="2" t="s">
        <v>2184</v>
      </c>
      <c r="J129" s="2" t="s">
        <v>2184</v>
      </c>
      <c r="K129" s="2" t="s">
        <v>2184</v>
      </c>
      <c r="L129" s="2" t="s">
        <v>2179</v>
      </c>
      <c r="M129" s="2" t="s">
        <v>2185</v>
      </c>
      <c r="N129" s="2" t="s">
        <v>109</v>
      </c>
      <c r="O129" s="2" t="s">
        <v>2186</v>
      </c>
    </row>
    <row r="130" spans="1:15" ht="28.5">
      <c r="A130" s="2" t="s">
        <v>794</v>
      </c>
      <c r="B130" s="2" t="s">
        <v>650</v>
      </c>
      <c r="C130" s="2" t="s">
        <v>97</v>
      </c>
      <c r="D130" s="2" t="s">
        <v>795</v>
      </c>
      <c r="E130" s="2" t="s">
        <v>797</v>
      </c>
      <c r="F130" s="2" t="s">
        <v>787</v>
      </c>
      <c r="G130" s="2">
        <v>17</v>
      </c>
      <c r="H130" s="2" t="s">
        <v>2184</v>
      </c>
      <c r="I130" s="2" t="s">
        <v>2184</v>
      </c>
      <c r="J130" s="2" t="s">
        <v>2184</v>
      </c>
      <c r="K130" s="2" t="s">
        <v>2184</v>
      </c>
      <c r="L130" s="2" t="s">
        <v>2179</v>
      </c>
      <c r="M130" s="2" t="s">
        <v>2185</v>
      </c>
      <c r="N130" s="2" t="s">
        <v>109</v>
      </c>
      <c r="O130" s="2" t="s">
        <v>2186</v>
      </c>
    </row>
    <row r="131" spans="1:15" ht="28.5">
      <c r="A131" s="2" t="s">
        <v>799</v>
      </c>
      <c r="B131" s="2" t="s">
        <v>650</v>
      </c>
      <c r="C131" s="2" t="s">
        <v>97</v>
      </c>
      <c r="D131" s="2" t="s">
        <v>801</v>
      </c>
      <c r="E131" s="2" t="s">
        <v>803</v>
      </c>
      <c r="F131" s="2" t="s">
        <v>787</v>
      </c>
      <c r="G131" s="2">
        <v>0</v>
      </c>
      <c r="H131" s="2" t="s">
        <v>2178</v>
      </c>
      <c r="I131" s="2" t="s">
        <v>2178</v>
      </c>
      <c r="J131" s="2" t="s">
        <v>2178</v>
      </c>
      <c r="K131" s="2" t="s">
        <v>2178</v>
      </c>
      <c r="L131" s="2" t="s">
        <v>2179</v>
      </c>
      <c r="M131" s="2" t="s">
        <v>2180</v>
      </c>
      <c r="N131" s="2" t="s">
        <v>109</v>
      </c>
      <c r="O131" s="2" t="s">
        <v>2181</v>
      </c>
    </row>
    <row r="132" spans="1:15" ht="28.5">
      <c r="A132" s="2" t="s">
        <v>805</v>
      </c>
      <c r="B132" s="2" t="s">
        <v>650</v>
      </c>
      <c r="C132" s="2" t="s">
        <v>97</v>
      </c>
      <c r="D132" s="2" t="s">
        <v>806</v>
      </c>
      <c r="E132" s="2" t="s">
        <v>808</v>
      </c>
      <c r="F132" s="2" t="s">
        <v>787</v>
      </c>
      <c r="G132" s="2">
        <v>0</v>
      </c>
      <c r="H132" s="2" t="s">
        <v>2178</v>
      </c>
      <c r="I132" s="2" t="s">
        <v>2178</v>
      </c>
      <c r="J132" s="2" t="s">
        <v>2178</v>
      </c>
      <c r="K132" s="2" t="s">
        <v>2178</v>
      </c>
      <c r="L132" s="2" t="s">
        <v>2179</v>
      </c>
      <c r="M132" s="2" t="s">
        <v>2180</v>
      </c>
      <c r="N132" s="2" t="s">
        <v>109</v>
      </c>
      <c r="O132" s="2" t="s">
        <v>2181</v>
      </c>
    </row>
    <row r="133" spans="1:15" ht="28.5">
      <c r="A133" s="2" t="s">
        <v>810</v>
      </c>
      <c r="B133" s="2" t="s">
        <v>650</v>
      </c>
      <c r="C133" s="2" t="s">
        <v>97</v>
      </c>
      <c r="D133" s="2" t="s">
        <v>811</v>
      </c>
      <c r="E133" s="2" t="s">
        <v>813</v>
      </c>
      <c r="F133" s="2" t="s">
        <v>787</v>
      </c>
      <c r="G133" s="2">
        <v>0</v>
      </c>
      <c r="H133" s="2" t="s">
        <v>2178</v>
      </c>
      <c r="I133" s="2" t="s">
        <v>2178</v>
      </c>
      <c r="J133" s="2" t="s">
        <v>2178</v>
      </c>
      <c r="K133" s="2" t="s">
        <v>2178</v>
      </c>
      <c r="L133" s="2" t="s">
        <v>2179</v>
      </c>
      <c r="M133" s="2" t="s">
        <v>2180</v>
      </c>
      <c r="N133" s="2" t="s">
        <v>109</v>
      </c>
      <c r="O133" s="2" t="s">
        <v>2181</v>
      </c>
    </row>
    <row r="134" spans="1:15" ht="28.5">
      <c r="A134" s="2" t="s">
        <v>815</v>
      </c>
      <c r="B134" s="2" t="s">
        <v>650</v>
      </c>
      <c r="C134" s="2" t="s">
        <v>97</v>
      </c>
      <c r="D134" s="2" t="s">
        <v>816</v>
      </c>
      <c r="E134" s="2" t="s">
        <v>818</v>
      </c>
      <c r="F134" s="2" t="s">
        <v>787</v>
      </c>
      <c r="G134" s="2">
        <v>0</v>
      </c>
      <c r="H134" s="2" t="s">
        <v>2178</v>
      </c>
      <c r="I134" s="2" t="s">
        <v>2178</v>
      </c>
      <c r="J134" s="2" t="s">
        <v>2178</v>
      </c>
      <c r="K134" s="2" t="s">
        <v>2178</v>
      </c>
      <c r="L134" s="2" t="s">
        <v>2179</v>
      </c>
      <c r="M134" s="2" t="s">
        <v>2180</v>
      </c>
      <c r="N134" s="2" t="s">
        <v>109</v>
      </c>
      <c r="O134" s="2" t="s">
        <v>2181</v>
      </c>
    </row>
    <row r="135" spans="1:15" ht="28.5">
      <c r="A135" s="2" t="s">
        <v>820</v>
      </c>
      <c r="B135" s="2" t="s">
        <v>650</v>
      </c>
      <c r="C135" s="2" t="s">
        <v>97</v>
      </c>
      <c r="D135" s="2" t="s">
        <v>821</v>
      </c>
      <c r="E135" s="2" t="s">
        <v>823</v>
      </c>
      <c r="F135" s="2" t="s">
        <v>787</v>
      </c>
      <c r="G135" s="2">
        <v>0</v>
      </c>
      <c r="H135" s="2" t="s">
        <v>2178</v>
      </c>
      <c r="I135" s="2" t="s">
        <v>2178</v>
      </c>
      <c r="J135" s="2" t="s">
        <v>2178</v>
      </c>
      <c r="K135" s="2" t="s">
        <v>2178</v>
      </c>
      <c r="L135" s="2" t="s">
        <v>2179</v>
      </c>
      <c r="M135" s="2" t="s">
        <v>2180</v>
      </c>
      <c r="N135" s="2" t="s">
        <v>109</v>
      </c>
      <c r="O135" s="2" t="s">
        <v>2181</v>
      </c>
    </row>
    <row r="136" spans="1:15" ht="28.5">
      <c r="A136" s="2" t="s">
        <v>825</v>
      </c>
      <c r="B136" s="2" t="s">
        <v>650</v>
      </c>
      <c r="C136" s="2" t="s">
        <v>97</v>
      </c>
      <c r="D136" s="2" t="s">
        <v>826</v>
      </c>
      <c r="E136" s="2" t="s">
        <v>828</v>
      </c>
      <c r="F136" s="2" t="s">
        <v>787</v>
      </c>
      <c r="G136" s="2">
        <v>0</v>
      </c>
      <c r="H136" s="2" t="s">
        <v>2178</v>
      </c>
      <c r="I136" s="2" t="s">
        <v>2178</v>
      </c>
      <c r="J136" s="2" t="s">
        <v>2178</v>
      </c>
      <c r="K136" s="2" t="s">
        <v>2178</v>
      </c>
      <c r="L136" s="2" t="s">
        <v>2179</v>
      </c>
      <c r="M136" s="2" t="s">
        <v>2180</v>
      </c>
      <c r="N136" s="2" t="s">
        <v>109</v>
      </c>
      <c r="O136" s="2" t="s">
        <v>2181</v>
      </c>
    </row>
    <row r="137" spans="1:15" ht="28.5">
      <c r="A137" s="2" t="s">
        <v>830</v>
      </c>
      <c r="B137" s="2" t="s">
        <v>650</v>
      </c>
      <c r="C137" s="2" t="s">
        <v>97</v>
      </c>
      <c r="D137" s="2" t="s">
        <v>831</v>
      </c>
      <c r="E137" s="2" t="s">
        <v>833</v>
      </c>
      <c r="F137" s="2" t="s">
        <v>787</v>
      </c>
      <c r="G137" s="2">
        <v>0</v>
      </c>
      <c r="H137" s="2" t="s">
        <v>2178</v>
      </c>
      <c r="I137" s="2" t="s">
        <v>2178</v>
      </c>
      <c r="J137" s="2" t="s">
        <v>2178</v>
      </c>
      <c r="K137" s="2" t="s">
        <v>2178</v>
      </c>
      <c r="L137" s="2" t="s">
        <v>2179</v>
      </c>
      <c r="M137" s="2" t="s">
        <v>2180</v>
      </c>
      <c r="N137" s="2" t="s">
        <v>109</v>
      </c>
      <c r="O137" s="2" t="s">
        <v>2181</v>
      </c>
    </row>
    <row r="138" spans="1:15" ht="28.5">
      <c r="A138" s="2" t="s">
        <v>835</v>
      </c>
      <c r="B138" s="2" t="s">
        <v>650</v>
      </c>
      <c r="C138" s="2" t="s">
        <v>97</v>
      </c>
      <c r="D138" s="2" t="s">
        <v>836</v>
      </c>
      <c r="E138" s="2" t="s">
        <v>838</v>
      </c>
      <c r="F138" s="2" t="s">
        <v>787</v>
      </c>
      <c r="G138" s="2">
        <v>0</v>
      </c>
      <c r="H138" s="2" t="s">
        <v>2178</v>
      </c>
      <c r="I138" s="2" t="s">
        <v>2178</v>
      </c>
      <c r="J138" s="2" t="s">
        <v>2178</v>
      </c>
      <c r="K138" s="2" t="s">
        <v>2178</v>
      </c>
      <c r="L138" s="2" t="s">
        <v>2179</v>
      </c>
      <c r="M138" s="2" t="s">
        <v>2180</v>
      </c>
      <c r="N138" s="2" t="s">
        <v>109</v>
      </c>
      <c r="O138" s="2" t="s">
        <v>2181</v>
      </c>
    </row>
    <row r="139" spans="1:15" ht="28.5">
      <c r="A139" s="2" t="s">
        <v>840</v>
      </c>
      <c r="B139" s="2" t="s">
        <v>650</v>
      </c>
      <c r="C139" s="2" t="s">
        <v>97</v>
      </c>
      <c r="D139" s="2" t="s">
        <v>841</v>
      </c>
      <c r="E139" s="2" t="s">
        <v>843</v>
      </c>
      <c r="F139" s="2" t="s">
        <v>787</v>
      </c>
      <c r="G139" s="2">
        <v>0</v>
      </c>
      <c r="H139" s="2" t="s">
        <v>2178</v>
      </c>
      <c r="I139" s="2" t="s">
        <v>2178</v>
      </c>
      <c r="J139" s="2" t="s">
        <v>2178</v>
      </c>
      <c r="K139" s="2" t="s">
        <v>2178</v>
      </c>
      <c r="L139" s="2" t="s">
        <v>2179</v>
      </c>
      <c r="M139" s="2" t="s">
        <v>2180</v>
      </c>
      <c r="N139" s="2" t="s">
        <v>109</v>
      </c>
      <c r="O139" s="2" t="s">
        <v>2181</v>
      </c>
    </row>
    <row r="140" spans="1:15" ht="28.5">
      <c r="A140" s="2" t="s">
        <v>845</v>
      </c>
      <c r="B140" s="2" t="s">
        <v>650</v>
      </c>
      <c r="C140" s="2" t="s">
        <v>97</v>
      </c>
      <c r="D140" s="2" t="s">
        <v>846</v>
      </c>
      <c r="E140" s="2" t="s">
        <v>848</v>
      </c>
      <c r="F140" s="2" t="s">
        <v>787</v>
      </c>
      <c r="G140" s="2">
        <v>0</v>
      </c>
      <c r="H140" s="2" t="s">
        <v>2178</v>
      </c>
      <c r="I140" s="2" t="s">
        <v>2178</v>
      </c>
      <c r="J140" s="2" t="s">
        <v>2178</v>
      </c>
      <c r="K140" s="2" t="s">
        <v>2178</v>
      </c>
      <c r="L140" s="2" t="s">
        <v>2179</v>
      </c>
      <c r="M140" s="2" t="s">
        <v>2180</v>
      </c>
      <c r="N140" s="2" t="s">
        <v>109</v>
      </c>
      <c r="O140" s="2" t="s">
        <v>2181</v>
      </c>
    </row>
    <row r="141" spans="1:15" ht="28.5">
      <c r="A141" s="2" t="s">
        <v>850</v>
      </c>
      <c r="B141" s="2" t="s">
        <v>650</v>
      </c>
      <c r="C141" s="2" t="s">
        <v>97</v>
      </c>
      <c r="D141" s="2" t="s">
        <v>851</v>
      </c>
      <c r="E141" s="2" t="s">
        <v>853</v>
      </c>
      <c r="F141" s="2" t="s">
        <v>787</v>
      </c>
      <c r="G141" s="2">
        <v>0</v>
      </c>
      <c r="H141" s="2" t="s">
        <v>2178</v>
      </c>
      <c r="I141" s="2" t="s">
        <v>2178</v>
      </c>
      <c r="J141" s="2" t="s">
        <v>2178</v>
      </c>
      <c r="K141" s="2" t="s">
        <v>2178</v>
      </c>
      <c r="L141" s="2" t="s">
        <v>2179</v>
      </c>
      <c r="M141" s="2" t="s">
        <v>2180</v>
      </c>
      <c r="N141" s="2" t="s">
        <v>109</v>
      </c>
      <c r="O141" s="2" t="s">
        <v>2181</v>
      </c>
    </row>
    <row r="142" spans="1:15" ht="28.5">
      <c r="A142" s="2" t="s">
        <v>855</v>
      </c>
      <c r="B142" s="2" t="s">
        <v>650</v>
      </c>
      <c r="C142" s="2" t="s">
        <v>97</v>
      </c>
      <c r="D142" s="2" t="s">
        <v>856</v>
      </c>
      <c r="E142" s="2" t="s">
        <v>858</v>
      </c>
      <c r="F142" s="2" t="s">
        <v>787</v>
      </c>
      <c r="G142" s="2">
        <v>0</v>
      </c>
      <c r="H142" s="2" t="s">
        <v>2178</v>
      </c>
      <c r="I142" s="2" t="s">
        <v>2178</v>
      </c>
      <c r="J142" s="2" t="s">
        <v>2178</v>
      </c>
      <c r="K142" s="2" t="s">
        <v>2178</v>
      </c>
      <c r="L142" s="2" t="s">
        <v>2179</v>
      </c>
      <c r="M142" s="2" t="s">
        <v>2180</v>
      </c>
      <c r="N142" s="2" t="s">
        <v>109</v>
      </c>
      <c r="O142" s="2" t="s">
        <v>2181</v>
      </c>
    </row>
    <row r="143" spans="1:15" ht="28.5">
      <c r="A143" s="2" t="s">
        <v>860</v>
      </c>
      <c r="B143" s="2" t="s">
        <v>650</v>
      </c>
      <c r="C143" s="2" t="s">
        <v>97</v>
      </c>
      <c r="D143" s="2" t="s">
        <v>861</v>
      </c>
      <c r="E143" s="2" t="s">
        <v>863</v>
      </c>
      <c r="F143" s="2" t="s">
        <v>787</v>
      </c>
      <c r="G143" s="2">
        <v>0</v>
      </c>
      <c r="H143" s="2" t="s">
        <v>2178</v>
      </c>
      <c r="I143" s="2" t="s">
        <v>2178</v>
      </c>
      <c r="J143" s="2" t="s">
        <v>2178</v>
      </c>
      <c r="K143" s="2" t="s">
        <v>2178</v>
      </c>
      <c r="L143" s="2" t="s">
        <v>2179</v>
      </c>
      <c r="M143" s="2" t="s">
        <v>2180</v>
      </c>
      <c r="N143" s="2" t="s">
        <v>109</v>
      </c>
      <c r="O143" s="2" t="s">
        <v>2181</v>
      </c>
    </row>
    <row r="144" spans="1:15" ht="28.5">
      <c r="A144" s="2" t="s">
        <v>865</v>
      </c>
      <c r="B144" s="2" t="s">
        <v>650</v>
      </c>
      <c r="C144" s="2" t="s">
        <v>97</v>
      </c>
      <c r="D144" s="2" t="s">
        <v>866</v>
      </c>
      <c r="E144" s="2" t="s">
        <v>868</v>
      </c>
      <c r="F144" s="2" t="s">
        <v>787</v>
      </c>
      <c r="G144" s="2">
        <v>0</v>
      </c>
      <c r="H144" s="2" t="s">
        <v>2178</v>
      </c>
      <c r="I144" s="2" t="s">
        <v>2178</v>
      </c>
      <c r="J144" s="2" t="s">
        <v>2178</v>
      </c>
      <c r="K144" s="2" t="s">
        <v>2178</v>
      </c>
      <c r="L144" s="2" t="s">
        <v>2179</v>
      </c>
      <c r="M144" s="2" t="s">
        <v>2180</v>
      </c>
      <c r="N144" s="2" t="s">
        <v>109</v>
      </c>
      <c r="O144" s="2" t="s">
        <v>2181</v>
      </c>
    </row>
    <row r="145" spans="1:15" ht="28.5">
      <c r="A145" s="2" t="s">
        <v>870</v>
      </c>
      <c r="B145" s="2" t="s">
        <v>650</v>
      </c>
      <c r="C145" s="2" t="s">
        <v>97</v>
      </c>
      <c r="D145" s="2" t="s">
        <v>871</v>
      </c>
      <c r="E145" s="2" t="s">
        <v>873</v>
      </c>
      <c r="F145" s="2" t="s">
        <v>787</v>
      </c>
      <c r="G145" s="2">
        <v>0</v>
      </c>
      <c r="H145" s="2" t="s">
        <v>2178</v>
      </c>
      <c r="I145" s="2" t="s">
        <v>2178</v>
      </c>
      <c r="J145" s="2" t="s">
        <v>2178</v>
      </c>
      <c r="K145" s="2" t="s">
        <v>2178</v>
      </c>
      <c r="L145" s="2" t="s">
        <v>2179</v>
      </c>
      <c r="M145" s="2" t="s">
        <v>2180</v>
      </c>
      <c r="N145" s="2" t="s">
        <v>109</v>
      </c>
      <c r="O145" s="2" t="s">
        <v>2181</v>
      </c>
    </row>
    <row r="146" spans="1:15" ht="28.5">
      <c r="A146" s="2" t="s">
        <v>875</v>
      </c>
      <c r="B146" s="2" t="s">
        <v>650</v>
      </c>
      <c r="C146" s="2" t="s">
        <v>97</v>
      </c>
      <c r="D146" s="2" t="s">
        <v>876</v>
      </c>
      <c r="E146" s="2" t="s">
        <v>878</v>
      </c>
      <c r="F146" s="2" t="s">
        <v>787</v>
      </c>
      <c r="G146" s="2">
        <v>0</v>
      </c>
      <c r="H146" s="2" t="s">
        <v>2178</v>
      </c>
      <c r="I146" s="2" t="s">
        <v>2178</v>
      </c>
      <c r="J146" s="2" t="s">
        <v>2178</v>
      </c>
      <c r="K146" s="2" t="s">
        <v>2178</v>
      </c>
      <c r="L146" s="2" t="s">
        <v>2179</v>
      </c>
      <c r="M146" s="2" t="s">
        <v>2180</v>
      </c>
      <c r="N146" s="2" t="s">
        <v>109</v>
      </c>
      <c r="O146" s="2" t="s">
        <v>2181</v>
      </c>
    </row>
    <row r="147" spans="1:15" ht="28.5">
      <c r="A147" s="2" t="s">
        <v>880</v>
      </c>
      <c r="B147" s="2" t="s">
        <v>650</v>
      </c>
      <c r="C147" s="2" t="s">
        <v>97</v>
      </c>
      <c r="D147" s="2" t="s">
        <v>881</v>
      </c>
      <c r="E147" s="2" t="s">
        <v>883</v>
      </c>
      <c r="F147" s="2" t="s">
        <v>787</v>
      </c>
      <c r="G147" s="2">
        <v>0</v>
      </c>
      <c r="H147" s="2" t="s">
        <v>2178</v>
      </c>
      <c r="I147" s="2" t="s">
        <v>2178</v>
      </c>
      <c r="J147" s="2" t="s">
        <v>2178</v>
      </c>
      <c r="K147" s="2" t="s">
        <v>2178</v>
      </c>
      <c r="L147" s="2" t="s">
        <v>2179</v>
      </c>
      <c r="M147" s="2" t="s">
        <v>2180</v>
      </c>
      <c r="N147" s="2" t="s">
        <v>109</v>
      </c>
      <c r="O147" s="2" t="s">
        <v>2181</v>
      </c>
    </row>
    <row r="148" spans="1:15" ht="28.5">
      <c r="A148" s="2" t="s">
        <v>885</v>
      </c>
      <c r="B148" s="2" t="s">
        <v>650</v>
      </c>
      <c r="C148" s="2" t="s">
        <v>97</v>
      </c>
      <c r="D148" s="2" t="s">
        <v>886</v>
      </c>
      <c r="E148" s="2" t="s">
        <v>888</v>
      </c>
      <c r="F148" s="2" t="s">
        <v>787</v>
      </c>
      <c r="G148" s="2">
        <v>0</v>
      </c>
      <c r="H148" s="2" t="s">
        <v>2178</v>
      </c>
      <c r="I148" s="2" t="s">
        <v>2178</v>
      </c>
      <c r="J148" s="2" t="s">
        <v>2178</v>
      </c>
      <c r="K148" s="2" t="s">
        <v>2178</v>
      </c>
      <c r="L148" s="2" t="s">
        <v>2179</v>
      </c>
      <c r="M148" s="2" t="s">
        <v>2180</v>
      </c>
      <c r="N148" s="2" t="s">
        <v>109</v>
      </c>
      <c r="O148" s="2" t="s">
        <v>2181</v>
      </c>
    </row>
    <row r="149" spans="1:15" ht="28.5">
      <c r="A149" s="2" t="s">
        <v>890</v>
      </c>
      <c r="B149" s="2" t="s">
        <v>650</v>
      </c>
      <c r="C149" s="2" t="s">
        <v>97</v>
      </c>
      <c r="D149" s="2" t="s">
        <v>891</v>
      </c>
      <c r="E149" s="2" t="s">
        <v>893</v>
      </c>
      <c r="F149" s="2" t="s">
        <v>787</v>
      </c>
      <c r="G149" s="2">
        <v>0</v>
      </c>
      <c r="H149" s="2" t="s">
        <v>2178</v>
      </c>
      <c r="I149" s="2" t="s">
        <v>2178</v>
      </c>
      <c r="J149" s="2" t="s">
        <v>2178</v>
      </c>
      <c r="K149" s="2" t="s">
        <v>2178</v>
      </c>
      <c r="L149" s="2" t="s">
        <v>2179</v>
      </c>
      <c r="M149" s="2" t="s">
        <v>2180</v>
      </c>
      <c r="N149" s="2" t="s">
        <v>109</v>
      </c>
      <c r="O149" s="2" t="s">
        <v>2181</v>
      </c>
    </row>
    <row r="150" spans="1:15" ht="28.5">
      <c r="A150" s="2" t="s">
        <v>895</v>
      </c>
      <c r="B150" s="2" t="s">
        <v>650</v>
      </c>
      <c r="C150" s="2" t="s">
        <v>97</v>
      </c>
      <c r="D150" s="2" t="s">
        <v>896</v>
      </c>
      <c r="E150" s="2" t="s">
        <v>898</v>
      </c>
      <c r="F150" s="2" t="s">
        <v>787</v>
      </c>
      <c r="G150" s="2">
        <v>0</v>
      </c>
      <c r="H150" s="2" t="s">
        <v>2178</v>
      </c>
      <c r="I150" s="2" t="s">
        <v>2178</v>
      </c>
      <c r="J150" s="2" t="s">
        <v>2178</v>
      </c>
      <c r="K150" s="2" t="s">
        <v>2178</v>
      </c>
      <c r="L150" s="2" t="s">
        <v>2179</v>
      </c>
      <c r="M150" s="2" t="s">
        <v>2180</v>
      </c>
      <c r="N150" s="2" t="s">
        <v>109</v>
      </c>
      <c r="O150" s="2" t="s">
        <v>2181</v>
      </c>
    </row>
    <row r="151" spans="1:15" ht="28.5">
      <c r="A151" s="2" t="s">
        <v>900</v>
      </c>
      <c r="B151" s="2" t="s">
        <v>650</v>
      </c>
      <c r="C151" s="2" t="s">
        <v>97</v>
      </c>
      <c r="D151" s="2" t="s">
        <v>901</v>
      </c>
      <c r="E151" s="2" t="s">
        <v>903</v>
      </c>
      <c r="F151" s="2" t="s">
        <v>787</v>
      </c>
      <c r="G151" s="2">
        <v>0</v>
      </c>
      <c r="H151" s="2" t="s">
        <v>2178</v>
      </c>
      <c r="I151" s="2" t="s">
        <v>2178</v>
      </c>
      <c r="J151" s="2" t="s">
        <v>2178</v>
      </c>
      <c r="K151" s="2" t="s">
        <v>2178</v>
      </c>
      <c r="L151" s="2" t="s">
        <v>2179</v>
      </c>
      <c r="M151" s="2" t="s">
        <v>2180</v>
      </c>
      <c r="N151" s="2" t="s">
        <v>109</v>
      </c>
      <c r="O151" s="2" t="s">
        <v>2181</v>
      </c>
    </row>
    <row r="152" spans="1:15" ht="28.5">
      <c r="A152" s="2" t="s">
        <v>905</v>
      </c>
      <c r="B152" s="2" t="s">
        <v>650</v>
      </c>
      <c r="C152" s="2" t="s">
        <v>97</v>
      </c>
      <c r="D152" s="2" t="s">
        <v>906</v>
      </c>
      <c r="E152" s="2" t="s">
        <v>908</v>
      </c>
      <c r="F152" s="2" t="s">
        <v>787</v>
      </c>
      <c r="G152" s="2">
        <v>0</v>
      </c>
      <c r="H152" s="2" t="s">
        <v>2178</v>
      </c>
      <c r="I152" s="2" t="s">
        <v>2178</v>
      </c>
      <c r="J152" s="2" t="s">
        <v>2178</v>
      </c>
      <c r="K152" s="2" t="s">
        <v>2178</v>
      </c>
      <c r="L152" s="2" t="s">
        <v>2179</v>
      </c>
      <c r="M152" s="2" t="s">
        <v>2180</v>
      </c>
      <c r="N152" s="2" t="s">
        <v>109</v>
      </c>
      <c r="O152" s="2" t="s">
        <v>2181</v>
      </c>
    </row>
    <row r="153" spans="1:15" ht="28.5">
      <c r="A153" s="2" t="s">
        <v>910</v>
      </c>
      <c r="B153" s="2" t="s">
        <v>650</v>
      </c>
      <c r="C153" s="2" t="s">
        <v>97</v>
      </c>
      <c r="D153" s="2" t="s">
        <v>912</v>
      </c>
      <c r="E153" s="2" t="s">
        <v>914</v>
      </c>
      <c r="F153" s="2" t="s">
        <v>787</v>
      </c>
      <c r="G153" s="2">
        <v>11</v>
      </c>
      <c r="H153" s="2" t="s">
        <v>2184</v>
      </c>
      <c r="I153" s="2" t="s">
        <v>2184</v>
      </c>
      <c r="J153" s="2" t="s">
        <v>2184</v>
      </c>
      <c r="K153" s="2" t="s">
        <v>2184</v>
      </c>
      <c r="L153" s="2" t="s">
        <v>2179</v>
      </c>
      <c r="M153" s="2" t="s">
        <v>2185</v>
      </c>
      <c r="N153" s="2" t="s">
        <v>109</v>
      </c>
      <c r="O153" s="2" t="s">
        <v>2186</v>
      </c>
    </row>
    <row r="154" spans="1:15" ht="28.5">
      <c r="A154" s="2" t="s">
        <v>916</v>
      </c>
      <c r="B154" s="2" t="s">
        <v>650</v>
      </c>
      <c r="C154" s="2" t="s">
        <v>97</v>
      </c>
      <c r="D154" s="2" t="s">
        <v>917</v>
      </c>
      <c r="E154" s="2" t="s">
        <v>919</v>
      </c>
      <c r="F154" s="2" t="s">
        <v>787</v>
      </c>
      <c r="G154" s="2">
        <v>13</v>
      </c>
      <c r="H154" s="2" t="s">
        <v>2184</v>
      </c>
      <c r="I154" s="2" t="s">
        <v>2184</v>
      </c>
      <c r="J154" s="2" t="s">
        <v>2184</v>
      </c>
      <c r="K154" s="2" t="s">
        <v>2184</v>
      </c>
      <c r="L154" s="2" t="s">
        <v>2179</v>
      </c>
      <c r="M154" s="2" t="s">
        <v>2185</v>
      </c>
      <c r="N154" s="2" t="s">
        <v>109</v>
      </c>
      <c r="O154" s="2" t="s">
        <v>2186</v>
      </c>
    </row>
    <row r="155" spans="1:15" ht="28.5">
      <c r="A155" s="2" t="s">
        <v>921</v>
      </c>
      <c r="B155" s="2" t="s">
        <v>650</v>
      </c>
      <c r="C155" s="2" t="s">
        <v>97</v>
      </c>
      <c r="D155" s="2" t="s">
        <v>923</v>
      </c>
      <c r="E155" s="2" t="s">
        <v>925</v>
      </c>
      <c r="F155" s="2" t="s">
        <v>787</v>
      </c>
      <c r="G155" s="2">
        <v>10</v>
      </c>
      <c r="H155" s="2" t="s">
        <v>2184</v>
      </c>
      <c r="I155" s="2" t="s">
        <v>2184</v>
      </c>
      <c r="J155" s="2" t="s">
        <v>2187</v>
      </c>
      <c r="K155" s="2" t="s">
        <v>2184</v>
      </c>
      <c r="L155" s="2" t="s">
        <v>2179</v>
      </c>
      <c r="M155" s="2" t="s">
        <v>2188</v>
      </c>
      <c r="N155" s="2" t="s">
        <v>109</v>
      </c>
      <c r="O155" s="2" t="s">
        <v>2189</v>
      </c>
    </row>
    <row r="156" spans="1:15" ht="28.5">
      <c r="A156" s="2" t="s">
        <v>927</v>
      </c>
      <c r="B156" s="2" t="s">
        <v>650</v>
      </c>
      <c r="C156" s="2" t="s">
        <v>97</v>
      </c>
      <c r="D156" s="2" t="s">
        <v>928</v>
      </c>
      <c r="E156" s="2" t="s">
        <v>930</v>
      </c>
      <c r="F156" s="2" t="s">
        <v>787</v>
      </c>
      <c r="G156" s="2">
        <v>11</v>
      </c>
      <c r="H156" s="2" t="s">
        <v>2184</v>
      </c>
      <c r="I156" s="2" t="s">
        <v>2184</v>
      </c>
      <c r="J156" s="2" t="s">
        <v>2187</v>
      </c>
      <c r="K156" s="2" t="s">
        <v>2184</v>
      </c>
      <c r="L156" s="2" t="s">
        <v>2179</v>
      </c>
      <c r="M156" s="2" t="s">
        <v>2188</v>
      </c>
      <c r="N156" s="2" t="s">
        <v>109</v>
      </c>
      <c r="O156" s="2" t="s">
        <v>2189</v>
      </c>
    </row>
    <row r="157" spans="1:15" ht="28.5">
      <c r="A157" s="2" t="s">
        <v>932</v>
      </c>
      <c r="B157" s="2" t="s">
        <v>650</v>
      </c>
      <c r="C157" s="2" t="s">
        <v>97</v>
      </c>
      <c r="D157" s="2" t="s">
        <v>933</v>
      </c>
      <c r="E157" s="2" t="s">
        <v>935</v>
      </c>
      <c r="F157" s="2" t="s">
        <v>787</v>
      </c>
      <c r="G157" s="2">
        <v>9</v>
      </c>
      <c r="H157" s="2" t="s">
        <v>2184</v>
      </c>
      <c r="I157" s="2" t="s">
        <v>2184</v>
      </c>
      <c r="J157" s="2" t="s">
        <v>2187</v>
      </c>
      <c r="K157" s="2" t="s">
        <v>2187</v>
      </c>
      <c r="L157" s="2" t="s">
        <v>2179</v>
      </c>
      <c r="M157" s="2" t="s">
        <v>2188</v>
      </c>
      <c r="N157" s="2" t="s">
        <v>109</v>
      </c>
      <c r="O157" s="2" t="s">
        <v>2189</v>
      </c>
    </row>
    <row r="158" spans="1:15" ht="28.5">
      <c r="A158" s="2" t="s">
        <v>937</v>
      </c>
      <c r="B158" s="2" t="s">
        <v>650</v>
      </c>
      <c r="C158" s="2" t="s">
        <v>97</v>
      </c>
      <c r="D158" s="2" t="s">
        <v>938</v>
      </c>
      <c r="E158" s="2" t="s">
        <v>940</v>
      </c>
      <c r="F158" s="2" t="s">
        <v>787</v>
      </c>
      <c r="G158" s="2">
        <v>9</v>
      </c>
      <c r="H158" s="2" t="s">
        <v>2184</v>
      </c>
      <c r="I158" s="2" t="s">
        <v>2184</v>
      </c>
      <c r="J158" s="2" t="s">
        <v>2184</v>
      </c>
      <c r="K158" s="2" t="s">
        <v>2187</v>
      </c>
      <c r="L158" s="2" t="s">
        <v>2179</v>
      </c>
      <c r="M158" s="2" t="s">
        <v>2188</v>
      </c>
      <c r="N158" s="2" t="s">
        <v>109</v>
      </c>
      <c r="O158" s="2" t="s">
        <v>2189</v>
      </c>
    </row>
    <row r="159" spans="1:15" ht="28.5">
      <c r="A159" s="2" t="s">
        <v>942</v>
      </c>
      <c r="B159" s="2" t="s">
        <v>650</v>
      </c>
      <c r="C159" s="2" t="s">
        <v>97</v>
      </c>
      <c r="D159" s="2" t="s">
        <v>943</v>
      </c>
      <c r="E159" s="2" t="s">
        <v>945</v>
      </c>
      <c r="F159" s="2" t="s">
        <v>787</v>
      </c>
      <c r="G159" s="2">
        <v>9</v>
      </c>
      <c r="H159" s="2" t="s">
        <v>2184</v>
      </c>
      <c r="I159" s="2" t="s">
        <v>2184</v>
      </c>
      <c r="J159" s="2" t="s">
        <v>2187</v>
      </c>
      <c r="K159" s="2" t="s">
        <v>2187</v>
      </c>
      <c r="L159" s="2" t="s">
        <v>2179</v>
      </c>
      <c r="M159" s="2" t="s">
        <v>2188</v>
      </c>
      <c r="N159" s="2" t="s">
        <v>109</v>
      </c>
      <c r="O159" s="2" t="s">
        <v>2189</v>
      </c>
    </row>
    <row r="160" spans="1:15" ht="28.5">
      <c r="A160" s="2" t="s">
        <v>947</v>
      </c>
      <c r="B160" s="2" t="s">
        <v>650</v>
      </c>
      <c r="C160" s="2" t="s">
        <v>97</v>
      </c>
      <c r="D160" s="2" t="s">
        <v>948</v>
      </c>
      <c r="E160" s="2" t="s">
        <v>950</v>
      </c>
      <c r="F160" s="2" t="s">
        <v>787</v>
      </c>
      <c r="G160" s="2">
        <v>11</v>
      </c>
      <c r="H160" s="2" t="s">
        <v>2184</v>
      </c>
      <c r="I160" s="2" t="s">
        <v>2184</v>
      </c>
      <c r="J160" s="2" t="s">
        <v>2187</v>
      </c>
      <c r="K160" s="2" t="s">
        <v>2187</v>
      </c>
      <c r="L160" s="2" t="s">
        <v>2179</v>
      </c>
      <c r="M160" s="2" t="s">
        <v>2188</v>
      </c>
      <c r="N160" s="2" t="s">
        <v>109</v>
      </c>
      <c r="O160" s="2" t="s">
        <v>2189</v>
      </c>
    </row>
    <row r="161" spans="1:15" ht="28.5">
      <c r="A161" s="2" t="s">
        <v>952</v>
      </c>
      <c r="B161" s="2" t="s">
        <v>650</v>
      </c>
      <c r="C161" s="2" t="s">
        <v>97</v>
      </c>
      <c r="D161" s="2" t="s">
        <v>953</v>
      </c>
      <c r="E161" s="2" t="s">
        <v>955</v>
      </c>
      <c r="F161" s="2" t="s">
        <v>787</v>
      </c>
      <c r="G161" s="2">
        <v>12</v>
      </c>
      <c r="H161" s="2" t="s">
        <v>2184</v>
      </c>
      <c r="I161" s="2" t="s">
        <v>2184</v>
      </c>
      <c r="J161" s="2" t="s">
        <v>2187</v>
      </c>
      <c r="K161" s="2" t="s">
        <v>2187</v>
      </c>
      <c r="L161" s="2" t="s">
        <v>2179</v>
      </c>
      <c r="M161" s="2" t="s">
        <v>2188</v>
      </c>
      <c r="N161" s="2" t="s">
        <v>109</v>
      </c>
      <c r="O161" s="2" t="s">
        <v>2189</v>
      </c>
    </row>
    <row r="162" spans="1:15" ht="28.5">
      <c r="A162" s="2" t="s">
        <v>957</v>
      </c>
      <c r="B162" s="2" t="s">
        <v>650</v>
      </c>
      <c r="C162" s="2" t="s">
        <v>97</v>
      </c>
      <c r="D162" s="2" t="s">
        <v>958</v>
      </c>
      <c r="E162" s="2" t="s">
        <v>960</v>
      </c>
      <c r="F162" s="2" t="s">
        <v>787</v>
      </c>
      <c r="G162" s="2">
        <v>13</v>
      </c>
      <c r="H162" s="2" t="s">
        <v>2184</v>
      </c>
      <c r="I162" s="2" t="s">
        <v>2184</v>
      </c>
      <c r="J162" s="2" t="s">
        <v>2187</v>
      </c>
      <c r="K162" s="2" t="s">
        <v>2184</v>
      </c>
      <c r="L162" s="2" t="s">
        <v>2179</v>
      </c>
      <c r="M162" s="2" t="s">
        <v>2188</v>
      </c>
      <c r="N162" s="2" t="s">
        <v>109</v>
      </c>
      <c r="O162" s="2" t="s">
        <v>2189</v>
      </c>
    </row>
    <row r="163" spans="1:15" ht="28.5">
      <c r="A163" s="2" t="s">
        <v>962</v>
      </c>
      <c r="B163" s="2" t="s">
        <v>650</v>
      </c>
      <c r="C163" s="2" t="s">
        <v>97</v>
      </c>
      <c r="D163" s="2" t="s">
        <v>963</v>
      </c>
      <c r="E163" s="2" t="s">
        <v>965</v>
      </c>
      <c r="F163" s="2" t="s">
        <v>787</v>
      </c>
      <c r="G163" s="2">
        <v>10</v>
      </c>
      <c r="H163" s="2" t="s">
        <v>2184</v>
      </c>
      <c r="I163" s="2" t="s">
        <v>2184</v>
      </c>
      <c r="J163" s="2" t="s">
        <v>2187</v>
      </c>
      <c r="K163" s="2" t="s">
        <v>2187</v>
      </c>
      <c r="L163" s="2" t="s">
        <v>2179</v>
      </c>
      <c r="M163" s="2" t="s">
        <v>2188</v>
      </c>
      <c r="N163" s="2" t="s">
        <v>109</v>
      </c>
      <c r="O163" s="2" t="s">
        <v>2189</v>
      </c>
    </row>
    <row r="164" spans="1:15" ht="28.5">
      <c r="A164" s="2" t="s">
        <v>967</v>
      </c>
      <c r="B164" s="2" t="s">
        <v>650</v>
      </c>
      <c r="C164" s="2" t="s">
        <v>97</v>
      </c>
      <c r="D164" s="2" t="s">
        <v>968</v>
      </c>
      <c r="E164" s="2" t="s">
        <v>970</v>
      </c>
      <c r="F164" s="2" t="s">
        <v>787</v>
      </c>
      <c r="G164" s="2">
        <v>10</v>
      </c>
      <c r="H164" s="2" t="s">
        <v>2184</v>
      </c>
      <c r="I164" s="2" t="s">
        <v>2184</v>
      </c>
      <c r="J164" s="2" t="s">
        <v>2187</v>
      </c>
      <c r="K164" s="2" t="s">
        <v>2187</v>
      </c>
      <c r="L164" s="2" t="s">
        <v>2179</v>
      </c>
      <c r="M164" s="2" t="s">
        <v>2188</v>
      </c>
      <c r="N164" s="2" t="s">
        <v>109</v>
      </c>
      <c r="O164" s="2" t="s">
        <v>2189</v>
      </c>
    </row>
    <row r="165" spans="1:15" ht="28.5">
      <c r="A165" s="2" t="s">
        <v>972</v>
      </c>
      <c r="B165" s="2" t="s">
        <v>650</v>
      </c>
      <c r="C165" s="2" t="s">
        <v>97</v>
      </c>
      <c r="D165" s="2" t="s">
        <v>973</v>
      </c>
      <c r="E165" s="2" t="s">
        <v>975</v>
      </c>
      <c r="F165" s="2" t="s">
        <v>787</v>
      </c>
      <c r="G165" s="2">
        <v>10</v>
      </c>
      <c r="H165" s="2" t="s">
        <v>2184</v>
      </c>
      <c r="I165" s="2" t="s">
        <v>2184</v>
      </c>
      <c r="J165" s="2" t="s">
        <v>2184</v>
      </c>
      <c r="K165" s="2" t="s">
        <v>2187</v>
      </c>
      <c r="L165" s="2" t="s">
        <v>2179</v>
      </c>
      <c r="M165" s="2" t="s">
        <v>2188</v>
      </c>
      <c r="N165" s="2" t="s">
        <v>109</v>
      </c>
      <c r="O165" s="2" t="s">
        <v>2189</v>
      </c>
    </row>
    <row r="166" spans="1:15" ht="28.5">
      <c r="A166" s="2" t="s">
        <v>977</v>
      </c>
      <c r="B166" s="2" t="s">
        <v>650</v>
      </c>
      <c r="C166" s="2" t="s">
        <v>97</v>
      </c>
      <c r="D166" s="2" t="s">
        <v>978</v>
      </c>
      <c r="E166" s="2" t="s">
        <v>980</v>
      </c>
      <c r="F166" s="2" t="s">
        <v>787</v>
      </c>
      <c r="G166" s="2">
        <v>7</v>
      </c>
      <c r="H166" s="2" t="s">
        <v>2184</v>
      </c>
      <c r="I166" s="2" t="s">
        <v>2184</v>
      </c>
      <c r="J166" s="2" t="s">
        <v>2184</v>
      </c>
      <c r="K166" s="2" t="s">
        <v>2184</v>
      </c>
      <c r="L166" s="2" t="s">
        <v>2179</v>
      </c>
      <c r="M166" s="2" t="s">
        <v>2185</v>
      </c>
      <c r="N166" s="2" t="s">
        <v>109</v>
      </c>
      <c r="O166" s="2" t="s">
        <v>2186</v>
      </c>
    </row>
    <row r="167" spans="1:15" ht="28.5">
      <c r="A167" s="2" t="s">
        <v>982</v>
      </c>
      <c r="B167" s="2" t="s">
        <v>650</v>
      </c>
      <c r="C167" s="2" t="s">
        <v>97</v>
      </c>
      <c r="D167" s="2" t="s">
        <v>983</v>
      </c>
      <c r="E167" s="2" t="s">
        <v>985</v>
      </c>
      <c r="F167" s="2" t="s">
        <v>787</v>
      </c>
      <c r="G167" s="2">
        <v>7</v>
      </c>
      <c r="H167" s="2" t="s">
        <v>2184</v>
      </c>
      <c r="I167" s="2" t="s">
        <v>2184</v>
      </c>
      <c r="J167" s="2" t="s">
        <v>2184</v>
      </c>
      <c r="K167" s="2" t="s">
        <v>2184</v>
      </c>
      <c r="L167" s="2" t="s">
        <v>2179</v>
      </c>
      <c r="M167" s="2" t="s">
        <v>2185</v>
      </c>
      <c r="N167" s="2" t="s">
        <v>109</v>
      </c>
      <c r="O167" s="2" t="s">
        <v>2186</v>
      </c>
    </row>
    <row r="168" spans="1:15" ht="28.5">
      <c r="A168" s="2" t="s">
        <v>987</v>
      </c>
      <c r="B168" s="2" t="s">
        <v>650</v>
      </c>
      <c r="C168" s="2" t="s">
        <v>97</v>
      </c>
      <c r="D168" s="2" t="s">
        <v>988</v>
      </c>
      <c r="E168" s="2" t="s">
        <v>990</v>
      </c>
      <c r="F168" s="2" t="s">
        <v>787</v>
      </c>
      <c r="G168" s="2">
        <v>7</v>
      </c>
      <c r="H168" s="2" t="s">
        <v>2184</v>
      </c>
      <c r="I168" s="2" t="s">
        <v>2184</v>
      </c>
      <c r="J168" s="2" t="s">
        <v>2184</v>
      </c>
      <c r="K168" s="2" t="s">
        <v>2184</v>
      </c>
      <c r="L168" s="2" t="s">
        <v>2179</v>
      </c>
      <c r="M168" s="2" t="s">
        <v>2185</v>
      </c>
      <c r="N168" s="2" t="s">
        <v>109</v>
      </c>
      <c r="O168" s="2" t="s">
        <v>2186</v>
      </c>
    </row>
    <row r="169" spans="1:15" ht="28.5">
      <c r="A169" s="2" t="s">
        <v>992</v>
      </c>
      <c r="B169" s="2" t="s">
        <v>650</v>
      </c>
      <c r="C169" s="2" t="s">
        <v>97</v>
      </c>
      <c r="D169" s="2" t="s">
        <v>993</v>
      </c>
      <c r="E169" s="2" t="s">
        <v>995</v>
      </c>
      <c r="F169" s="2" t="s">
        <v>787</v>
      </c>
      <c r="G169" s="2">
        <v>7</v>
      </c>
      <c r="H169" s="2" t="s">
        <v>2184</v>
      </c>
      <c r="I169" s="2" t="s">
        <v>2184</v>
      </c>
      <c r="J169" s="2" t="s">
        <v>2184</v>
      </c>
      <c r="K169" s="2" t="s">
        <v>2184</v>
      </c>
      <c r="L169" s="2" t="s">
        <v>2179</v>
      </c>
      <c r="M169" s="2" t="s">
        <v>2185</v>
      </c>
      <c r="N169" s="2" t="s">
        <v>109</v>
      </c>
      <c r="O169" s="2" t="s">
        <v>2186</v>
      </c>
    </row>
    <row r="170" spans="1:15" ht="28.5">
      <c r="A170" s="2" t="s">
        <v>997</v>
      </c>
      <c r="B170" s="2" t="s">
        <v>650</v>
      </c>
      <c r="C170" s="2" t="s">
        <v>97</v>
      </c>
      <c r="D170" s="2" t="s">
        <v>998</v>
      </c>
      <c r="E170" s="2" t="s">
        <v>1000</v>
      </c>
      <c r="F170" s="2" t="s">
        <v>787</v>
      </c>
      <c r="G170" s="2">
        <v>7</v>
      </c>
      <c r="H170" s="2" t="s">
        <v>2184</v>
      </c>
      <c r="I170" s="2" t="s">
        <v>2184</v>
      </c>
      <c r="J170" s="2" t="s">
        <v>2184</v>
      </c>
      <c r="K170" s="2" t="s">
        <v>2184</v>
      </c>
      <c r="L170" s="2" t="s">
        <v>2179</v>
      </c>
      <c r="M170" s="2" t="s">
        <v>2185</v>
      </c>
      <c r="N170" s="2" t="s">
        <v>109</v>
      </c>
      <c r="O170" s="2" t="s">
        <v>2186</v>
      </c>
    </row>
    <row r="171" spans="1:15" ht="28.5">
      <c r="A171" s="2" t="s">
        <v>1002</v>
      </c>
      <c r="B171" s="2" t="s">
        <v>650</v>
      </c>
      <c r="C171" s="2" t="s">
        <v>97</v>
      </c>
      <c r="D171" s="2" t="s">
        <v>1003</v>
      </c>
      <c r="E171" s="2" t="s">
        <v>1005</v>
      </c>
      <c r="F171" s="2" t="s">
        <v>787</v>
      </c>
      <c r="G171" s="2">
        <v>3</v>
      </c>
      <c r="H171" s="2" t="s">
        <v>2184</v>
      </c>
      <c r="I171" s="2" t="s">
        <v>2184</v>
      </c>
      <c r="J171" s="2" t="s">
        <v>2187</v>
      </c>
      <c r="K171" s="2" t="s">
        <v>2184</v>
      </c>
      <c r="L171" s="2" t="s">
        <v>2179</v>
      </c>
      <c r="M171" s="2" t="s">
        <v>2188</v>
      </c>
      <c r="N171" s="2" t="s">
        <v>109</v>
      </c>
      <c r="O171" s="2" t="s">
        <v>2189</v>
      </c>
    </row>
    <row r="172" spans="1:15" ht="28.5">
      <c r="A172" s="2" t="s">
        <v>1007</v>
      </c>
      <c r="B172" s="2" t="s">
        <v>650</v>
      </c>
      <c r="C172" s="2" t="s">
        <v>331</v>
      </c>
      <c r="D172" s="2" t="s">
        <v>1008</v>
      </c>
      <c r="E172" s="2" t="s">
        <v>1010</v>
      </c>
      <c r="F172" s="2" t="s">
        <v>338</v>
      </c>
      <c r="G172" s="2">
        <v>0</v>
      </c>
      <c r="H172" s="2" t="s">
        <v>2178</v>
      </c>
      <c r="I172" s="2" t="s">
        <v>2178</v>
      </c>
      <c r="J172" s="2" t="s">
        <v>2178</v>
      </c>
      <c r="K172" s="2" t="s">
        <v>2178</v>
      </c>
      <c r="L172" s="2" t="s">
        <v>2182</v>
      </c>
      <c r="M172" s="2" t="s">
        <v>2180</v>
      </c>
      <c r="N172" s="2" t="s">
        <v>109</v>
      </c>
      <c r="O172" s="2" t="s">
        <v>2181</v>
      </c>
    </row>
    <row r="173" spans="1:15" ht="28.5">
      <c r="A173" s="2" t="s">
        <v>1012</v>
      </c>
      <c r="B173" s="2" t="s">
        <v>650</v>
      </c>
      <c r="C173" s="2" t="s">
        <v>331</v>
      </c>
      <c r="D173" s="2" t="s">
        <v>1013</v>
      </c>
      <c r="E173" s="2" t="s">
        <v>1016</v>
      </c>
      <c r="F173" s="2" t="s">
        <v>338</v>
      </c>
      <c r="G173" s="2">
        <v>0</v>
      </c>
      <c r="H173" s="2" t="s">
        <v>2178</v>
      </c>
      <c r="I173" s="2" t="s">
        <v>2178</v>
      </c>
      <c r="J173" s="2" t="s">
        <v>2178</v>
      </c>
      <c r="K173" s="2" t="s">
        <v>2178</v>
      </c>
      <c r="L173" s="2" t="s">
        <v>2182</v>
      </c>
      <c r="M173" s="2" t="s">
        <v>2180</v>
      </c>
      <c r="N173" s="2" t="s">
        <v>109</v>
      </c>
      <c r="O173" s="2" t="s">
        <v>2181</v>
      </c>
    </row>
    <row r="174" spans="1:15" ht="28.5">
      <c r="A174" s="2" t="s">
        <v>1018</v>
      </c>
      <c r="B174" s="2" t="s">
        <v>650</v>
      </c>
      <c r="C174" s="2" t="s">
        <v>331</v>
      </c>
      <c r="D174" s="2" t="s">
        <v>1019</v>
      </c>
      <c r="E174" s="2" t="s">
        <v>1022</v>
      </c>
      <c r="F174" s="2" t="s">
        <v>338</v>
      </c>
      <c r="G174" s="2">
        <v>0</v>
      </c>
      <c r="H174" s="2" t="s">
        <v>2178</v>
      </c>
      <c r="I174" s="2" t="s">
        <v>2178</v>
      </c>
      <c r="J174" s="2" t="s">
        <v>2178</v>
      </c>
      <c r="K174" s="2" t="s">
        <v>2178</v>
      </c>
      <c r="L174" s="2" t="s">
        <v>2182</v>
      </c>
      <c r="M174" s="2" t="s">
        <v>2180</v>
      </c>
      <c r="N174" s="2" t="s">
        <v>109</v>
      </c>
      <c r="O174" s="2" t="s">
        <v>2181</v>
      </c>
    </row>
    <row r="175" spans="1:15" ht="28.5">
      <c r="A175" s="2" t="s">
        <v>1024</v>
      </c>
      <c r="B175" s="2" t="s">
        <v>650</v>
      </c>
      <c r="C175" s="2" t="s">
        <v>331</v>
      </c>
      <c r="D175" s="2" t="s">
        <v>1025</v>
      </c>
      <c r="E175" s="2" t="s">
        <v>1027</v>
      </c>
      <c r="F175" s="2" t="s">
        <v>347</v>
      </c>
      <c r="G175" s="2">
        <v>0</v>
      </c>
      <c r="H175" s="2" t="s">
        <v>2178</v>
      </c>
      <c r="I175" s="2" t="s">
        <v>2178</v>
      </c>
      <c r="J175" s="2" t="s">
        <v>2178</v>
      </c>
      <c r="K175" s="2" t="s">
        <v>2178</v>
      </c>
      <c r="L175" s="2" t="s">
        <v>2182</v>
      </c>
      <c r="M175" s="2" t="s">
        <v>2180</v>
      </c>
      <c r="N175" s="2" t="s">
        <v>109</v>
      </c>
      <c r="O175" s="2" t="s">
        <v>2181</v>
      </c>
    </row>
    <row r="176" spans="1:15" ht="28.5">
      <c r="A176" s="2" t="s">
        <v>1029</v>
      </c>
      <c r="B176" s="2" t="s">
        <v>650</v>
      </c>
      <c r="C176" s="2" t="s">
        <v>331</v>
      </c>
      <c r="D176" s="2" t="s">
        <v>1030</v>
      </c>
      <c r="E176" s="2" t="s">
        <v>1032</v>
      </c>
      <c r="F176" s="2" t="s">
        <v>347</v>
      </c>
      <c r="G176" s="2">
        <v>0</v>
      </c>
      <c r="H176" s="2" t="s">
        <v>2178</v>
      </c>
      <c r="I176" s="2" t="s">
        <v>2178</v>
      </c>
      <c r="J176" s="2" t="s">
        <v>2178</v>
      </c>
      <c r="K176" s="2" t="s">
        <v>2178</v>
      </c>
      <c r="L176" s="2" t="s">
        <v>2182</v>
      </c>
      <c r="M176" s="2" t="s">
        <v>2180</v>
      </c>
      <c r="N176" s="2" t="s">
        <v>109</v>
      </c>
      <c r="O176" s="2" t="s">
        <v>2181</v>
      </c>
    </row>
    <row r="177" spans="1:15" ht="28.5">
      <c r="A177" s="2" t="s">
        <v>1034</v>
      </c>
      <c r="B177" s="2" t="s">
        <v>650</v>
      </c>
      <c r="C177" s="2" t="s">
        <v>331</v>
      </c>
      <c r="D177" s="2" t="s">
        <v>1035</v>
      </c>
      <c r="E177" s="2" t="s">
        <v>1037</v>
      </c>
      <c r="F177" s="2" t="s">
        <v>361</v>
      </c>
      <c r="G177" s="2">
        <v>0</v>
      </c>
      <c r="H177" s="2" t="s">
        <v>2178</v>
      </c>
      <c r="I177" s="2" t="s">
        <v>2178</v>
      </c>
      <c r="J177" s="2" t="s">
        <v>2178</v>
      </c>
      <c r="K177" s="2" t="s">
        <v>2178</v>
      </c>
      <c r="L177" s="2" t="s">
        <v>2182</v>
      </c>
      <c r="M177" s="2" t="s">
        <v>2180</v>
      </c>
      <c r="N177" s="2" t="s">
        <v>109</v>
      </c>
      <c r="O177" s="2" t="s">
        <v>2181</v>
      </c>
    </row>
    <row r="178" spans="1:15" ht="28.5">
      <c r="A178" s="2" t="s">
        <v>1039</v>
      </c>
      <c r="B178" s="2" t="s">
        <v>650</v>
      </c>
      <c r="C178" s="2" t="s">
        <v>331</v>
      </c>
      <c r="D178" s="2" t="s">
        <v>1040</v>
      </c>
      <c r="E178" s="2" t="s">
        <v>1042</v>
      </c>
      <c r="F178" s="2" t="s">
        <v>361</v>
      </c>
      <c r="G178" s="2">
        <v>0</v>
      </c>
      <c r="H178" s="2" t="s">
        <v>2178</v>
      </c>
      <c r="I178" s="2" t="s">
        <v>2178</v>
      </c>
      <c r="J178" s="2" t="s">
        <v>2178</v>
      </c>
      <c r="K178" s="2" t="s">
        <v>2178</v>
      </c>
      <c r="L178" s="2" t="s">
        <v>2182</v>
      </c>
      <c r="M178" s="2" t="s">
        <v>2180</v>
      </c>
      <c r="N178" s="2" t="s">
        <v>109</v>
      </c>
      <c r="O178" s="2" t="s">
        <v>2181</v>
      </c>
    </row>
    <row r="179" spans="1:15" ht="28.5">
      <c r="A179" s="2" t="s">
        <v>1044</v>
      </c>
      <c r="B179" s="2" t="s">
        <v>650</v>
      </c>
      <c r="C179" s="2" t="s">
        <v>370</v>
      </c>
      <c r="D179" s="2" t="s">
        <v>1045</v>
      </c>
      <c r="E179" s="2" t="s">
        <v>1048</v>
      </c>
      <c r="F179" s="2" t="s">
        <v>377</v>
      </c>
      <c r="G179" s="2">
        <v>0</v>
      </c>
      <c r="H179" s="2" t="s">
        <v>2178</v>
      </c>
      <c r="I179" s="2" t="s">
        <v>2178</v>
      </c>
      <c r="J179" s="2" t="s">
        <v>2178</v>
      </c>
      <c r="K179" s="2" t="s">
        <v>2178</v>
      </c>
      <c r="L179" s="2" t="s">
        <v>2179</v>
      </c>
      <c r="M179" s="2" t="s">
        <v>2180</v>
      </c>
      <c r="N179" s="2" t="s">
        <v>109</v>
      </c>
      <c r="O179" s="2" t="s">
        <v>2181</v>
      </c>
    </row>
    <row r="180" spans="1:15" ht="28.5">
      <c r="A180" s="2" t="s">
        <v>1050</v>
      </c>
      <c r="B180" s="2" t="s">
        <v>650</v>
      </c>
      <c r="C180" s="2" t="s">
        <v>370</v>
      </c>
      <c r="D180" s="2" t="s">
        <v>1051</v>
      </c>
      <c r="E180" s="2" t="s">
        <v>1054</v>
      </c>
      <c r="F180" s="2" t="s">
        <v>377</v>
      </c>
      <c r="G180" s="2">
        <v>0</v>
      </c>
      <c r="H180" s="2" t="s">
        <v>2178</v>
      </c>
      <c r="I180" s="2" t="s">
        <v>2178</v>
      </c>
      <c r="J180" s="2" t="s">
        <v>2178</v>
      </c>
      <c r="K180" s="2" t="s">
        <v>2178</v>
      </c>
      <c r="L180" s="2" t="s">
        <v>2179</v>
      </c>
      <c r="M180" s="2" t="s">
        <v>2180</v>
      </c>
      <c r="N180" s="2" t="s">
        <v>109</v>
      </c>
      <c r="O180" s="2" t="s">
        <v>2181</v>
      </c>
    </row>
    <row r="181" spans="1:15" ht="28.5">
      <c r="A181" s="2" t="s">
        <v>1056</v>
      </c>
      <c r="B181" s="2" t="s">
        <v>650</v>
      </c>
      <c r="C181" s="2" t="s">
        <v>370</v>
      </c>
      <c r="D181" s="2" t="s">
        <v>1057</v>
      </c>
      <c r="E181" s="2" t="s">
        <v>1060</v>
      </c>
      <c r="F181" s="2" t="s">
        <v>377</v>
      </c>
      <c r="G181" s="2">
        <v>0</v>
      </c>
      <c r="H181" s="2" t="s">
        <v>2178</v>
      </c>
      <c r="I181" s="2" t="s">
        <v>2178</v>
      </c>
      <c r="J181" s="2" t="s">
        <v>2178</v>
      </c>
      <c r="K181" s="2" t="s">
        <v>2178</v>
      </c>
      <c r="L181" s="2" t="s">
        <v>2179</v>
      </c>
      <c r="M181" s="2" t="s">
        <v>2180</v>
      </c>
      <c r="N181" s="2" t="s">
        <v>109</v>
      </c>
      <c r="O181" s="2" t="s">
        <v>2181</v>
      </c>
    </row>
    <row r="182" spans="1:15" ht="28.5">
      <c r="A182" s="2" t="s">
        <v>1062</v>
      </c>
      <c r="B182" s="2" t="s">
        <v>650</v>
      </c>
      <c r="C182" s="2" t="s">
        <v>370</v>
      </c>
      <c r="D182" s="2" t="s">
        <v>1063</v>
      </c>
      <c r="E182" s="2" t="s">
        <v>1066</v>
      </c>
      <c r="F182" s="2" t="s">
        <v>377</v>
      </c>
      <c r="G182" s="2">
        <v>0</v>
      </c>
      <c r="H182" s="2" t="s">
        <v>2178</v>
      </c>
      <c r="I182" s="2" t="s">
        <v>2178</v>
      </c>
      <c r="J182" s="2" t="s">
        <v>2178</v>
      </c>
      <c r="K182" s="2" t="s">
        <v>2178</v>
      </c>
      <c r="L182" s="2" t="s">
        <v>2179</v>
      </c>
      <c r="M182" s="2" t="s">
        <v>2180</v>
      </c>
      <c r="N182" s="2" t="s">
        <v>109</v>
      </c>
      <c r="O182" s="2" t="s">
        <v>2181</v>
      </c>
    </row>
    <row r="183" spans="1:15" ht="28.5">
      <c r="A183" s="2" t="s">
        <v>1068</v>
      </c>
      <c r="B183" s="2" t="s">
        <v>650</v>
      </c>
      <c r="C183" s="2" t="s">
        <v>370</v>
      </c>
      <c r="D183" s="2" t="s">
        <v>1069</v>
      </c>
      <c r="E183" s="2" t="s">
        <v>1072</v>
      </c>
      <c r="F183" s="2" t="s">
        <v>377</v>
      </c>
      <c r="G183" s="2">
        <v>0</v>
      </c>
      <c r="H183" s="2" t="s">
        <v>2178</v>
      </c>
      <c r="I183" s="2" t="s">
        <v>2178</v>
      </c>
      <c r="J183" s="2" t="s">
        <v>2178</v>
      </c>
      <c r="K183" s="2" t="s">
        <v>2178</v>
      </c>
      <c r="L183" s="2" t="s">
        <v>2179</v>
      </c>
      <c r="M183" s="2" t="s">
        <v>2180</v>
      </c>
      <c r="N183" s="2" t="s">
        <v>109</v>
      </c>
      <c r="O183" s="2" t="s">
        <v>2181</v>
      </c>
    </row>
    <row r="184" spans="1:15" ht="28.5">
      <c r="A184" s="2" t="s">
        <v>1074</v>
      </c>
      <c r="B184" s="2" t="s">
        <v>650</v>
      </c>
      <c r="C184" s="2" t="s">
        <v>370</v>
      </c>
      <c r="D184" s="2" t="s">
        <v>1075</v>
      </c>
      <c r="E184" s="2" t="s">
        <v>1077</v>
      </c>
      <c r="F184" s="2" t="s">
        <v>377</v>
      </c>
      <c r="G184" s="2">
        <v>0</v>
      </c>
      <c r="H184" s="2" t="s">
        <v>2178</v>
      </c>
      <c r="I184" s="2" t="s">
        <v>2178</v>
      </c>
      <c r="J184" s="2" t="s">
        <v>2178</v>
      </c>
      <c r="K184" s="2" t="s">
        <v>2178</v>
      </c>
      <c r="L184" s="2" t="s">
        <v>2179</v>
      </c>
      <c r="M184" s="2" t="s">
        <v>2180</v>
      </c>
      <c r="N184" s="2" t="s">
        <v>109</v>
      </c>
      <c r="O184" s="2" t="s">
        <v>2181</v>
      </c>
    </row>
    <row r="185" spans="1:15" ht="28.5">
      <c r="A185" s="2" t="s">
        <v>1079</v>
      </c>
      <c r="B185" s="2" t="s">
        <v>650</v>
      </c>
      <c r="C185" s="2" t="s">
        <v>370</v>
      </c>
      <c r="D185" s="2" t="s">
        <v>1080</v>
      </c>
      <c r="E185" s="2" t="s">
        <v>1082</v>
      </c>
      <c r="F185" s="2" t="s">
        <v>377</v>
      </c>
      <c r="G185" s="2">
        <v>0</v>
      </c>
      <c r="H185" s="2" t="s">
        <v>2178</v>
      </c>
      <c r="I185" s="2" t="s">
        <v>2178</v>
      </c>
      <c r="J185" s="2" t="s">
        <v>2178</v>
      </c>
      <c r="K185" s="2" t="s">
        <v>2178</v>
      </c>
      <c r="L185" s="2" t="s">
        <v>2179</v>
      </c>
      <c r="M185" s="2" t="s">
        <v>2180</v>
      </c>
      <c r="N185" s="2" t="s">
        <v>109</v>
      </c>
      <c r="O185" s="2" t="s">
        <v>2181</v>
      </c>
    </row>
    <row r="186" spans="1:15" ht="28.5">
      <c r="A186" s="2" t="s">
        <v>1084</v>
      </c>
      <c r="B186" s="2" t="s">
        <v>650</v>
      </c>
      <c r="C186" s="2" t="s">
        <v>370</v>
      </c>
      <c r="D186" s="2" t="s">
        <v>1085</v>
      </c>
      <c r="E186" s="2" t="s">
        <v>1087</v>
      </c>
      <c r="F186" s="2" t="s">
        <v>377</v>
      </c>
      <c r="G186" s="2">
        <v>0</v>
      </c>
      <c r="H186" s="2" t="s">
        <v>2178</v>
      </c>
      <c r="I186" s="2" t="s">
        <v>2178</v>
      </c>
      <c r="J186" s="2" t="s">
        <v>2178</v>
      </c>
      <c r="K186" s="2" t="s">
        <v>2178</v>
      </c>
      <c r="L186" s="2" t="s">
        <v>2179</v>
      </c>
      <c r="M186" s="2" t="s">
        <v>2180</v>
      </c>
      <c r="N186" s="2" t="s">
        <v>109</v>
      </c>
      <c r="O186" s="2" t="s">
        <v>2181</v>
      </c>
    </row>
    <row r="187" spans="1:15" ht="28.5">
      <c r="A187" s="2" t="s">
        <v>1089</v>
      </c>
      <c r="B187" s="2" t="s">
        <v>650</v>
      </c>
      <c r="C187" s="2" t="s">
        <v>370</v>
      </c>
      <c r="D187" s="2" t="s">
        <v>1090</v>
      </c>
      <c r="E187" s="2" t="s">
        <v>1092</v>
      </c>
      <c r="F187" s="2" t="s">
        <v>377</v>
      </c>
      <c r="G187" s="2">
        <v>0</v>
      </c>
      <c r="H187" s="2" t="s">
        <v>2178</v>
      </c>
      <c r="I187" s="2" t="s">
        <v>2178</v>
      </c>
      <c r="J187" s="2" t="s">
        <v>2178</v>
      </c>
      <c r="K187" s="2" t="s">
        <v>2178</v>
      </c>
      <c r="L187" s="2" t="s">
        <v>2179</v>
      </c>
      <c r="M187" s="2" t="s">
        <v>2180</v>
      </c>
      <c r="N187" s="2" t="s">
        <v>109</v>
      </c>
      <c r="O187" s="2" t="s">
        <v>2181</v>
      </c>
    </row>
    <row r="188" spans="1:15" ht="28.5">
      <c r="A188" s="2" t="s">
        <v>1094</v>
      </c>
      <c r="B188" s="2" t="s">
        <v>650</v>
      </c>
      <c r="C188" s="2" t="s">
        <v>370</v>
      </c>
      <c r="D188" s="2" t="s">
        <v>1095</v>
      </c>
      <c r="E188" s="2" t="s">
        <v>1097</v>
      </c>
      <c r="F188" s="2" t="s">
        <v>377</v>
      </c>
      <c r="G188" s="2">
        <v>0</v>
      </c>
      <c r="H188" s="2" t="s">
        <v>2178</v>
      </c>
      <c r="I188" s="2" t="s">
        <v>2178</v>
      </c>
      <c r="J188" s="2" t="s">
        <v>2178</v>
      </c>
      <c r="K188" s="2" t="s">
        <v>2178</v>
      </c>
      <c r="L188" s="2" t="s">
        <v>2179</v>
      </c>
      <c r="M188" s="2" t="s">
        <v>2180</v>
      </c>
      <c r="N188" s="2" t="s">
        <v>109</v>
      </c>
      <c r="O188" s="2" t="s">
        <v>2181</v>
      </c>
    </row>
    <row r="189" spans="1:15" ht="28.5">
      <c r="A189" s="2" t="s">
        <v>1098</v>
      </c>
      <c r="B189" s="2" t="s">
        <v>650</v>
      </c>
      <c r="C189" s="2" t="s">
        <v>370</v>
      </c>
      <c r="D189" s="2" t="s">
        <v>1099</v>
      </c>
      <c r="E189" s="2" t="s">
        <v>1101</v>
      </c>
      <c r="F189" s="2" t="s">
        <v>377</v>
      </c>
      <c r="G189" s="2">
        <v>0</v>
      </c>
      <c r="H189" s="2" t="s">
        <v>2178</v>
      </c>
      <c r="I189" s="2" t="s">
        <v>2178</v>
      </c>
      <c r="J189" s="2" t="s">
        <v>2178</v>
      </c>
      <c r="K189" s="2" t="s">
        <v>2178</v>
      </c>
      <c r="L189" s="2" t="s">
        <v>2179</v>
      </c>
      <c r="M189" s="2" t="s">
        <v>2180</v>
      </c>
      <c r="N189" s="2" t="s">
        <v>109</v>
      </c>
      <c r="O189" s="2" t="s">
        <v>2181</v>
      </c>
    </row>
    <row r="190" spans="1:15" ht="28.5">
      <c r="A190" s="2" t="s">
        <v>1102</v>
      </c>
      <c r="B190" s="2" t="s">
        <v>650</v>
      </c>
      <c r="C190" s="2" t="s">
        <v>370</v>
      </c>
      <c r="D190" s="2" t="s">
        <v>1103</v>
      </c>
      <c r="E190" s="2" t="s">
        <v>1105</v>
      </c>
      <c r="F190" s="2" t="s">
        <v>377</v>
      </c>
      <c r="G190" s="2">
        <v>0</v>
      </c>
      <c r="H190" s="2" t="s">
        <v>2178</v>
      </c>
      <c r="I190" s="2" t="s">
        <v>2178</v>
      </c>
      <c r="J190" s="2" t="s">
        <v>2178</v>
      </c>
      <c r="K190" s="2" t="s">
        <v>2178</v>
      </c>
      <c r="L190" s="2" t="s">
        <v>2179</v>
      </c>
      <c r="M190" s="2" t="s">
        <v>2180</v>
      </c>
      <c r="N190" s="2" t="s">
        <v>109</v>
      </c>
      <c r="O190" s="2" t="s">
        <v>2181</v>
      </c>
    </row>
    <row r="191" spans="1:15" ht="28.5">
      <c r="A191" s="2" t="s">
        <v>1106</v>
      </c>
      <c r="B191" s="2" t="s">
        <v>650</v>
      </c>
      <c r="C191" s="2" t="s">
        <v>370</v>
      </c>
      <c r="D191" s="2" t="s">
        <v>1107</v>
      </c>
      <c r="E191" s="2" t="s">
        <v>1109</v>
      </c>
      <c r="F191" s="2" t="s">
        <v>377</v>
      </c>
      <c r="G191" s="2">
        <v>0</v>
      </c>
      <c r="H191" s="2" t="s">
        <v>2178</v>
      </c>
      <c r="I191" s="2" t="s">
        <v>2178</v>
      </c>
      <c r="J191" s="2" t="s">
        <v>2178</v>
      </c>
      <c r="K191" s="2" t="s">
        <v>2178</v>
      </c>
      <c r="L191" s="2" t="s">
        <v>2179</v>
      </c>
      <c r="M191" s="2" t="s">
        <v>2180</v>
      </c>
      <c r="N191" s="2" t="s">
        <v>109</v>
      </c>
      <c r="O191" s="2" t="s">
        <v>2181</v>
      </c>
    </row>
    <row r="192" spans="1:15" ht="28.5">
      <c r="A192" s="2" t="s">
        <v>1110</v>
      </c>
      <c r="B192" s="2" t="s">
        <v>650</v>
      </c>
      <c r="C192" s="2" t="s">
        <v>436</v>
      </c>
      <c r="D192" s="2" t="s">
        <v>1111</v>
      </c>
      <c r="E192" s="2" t="s">
        <v>1114</v>
      </c>
      <c r="F192" s="2" t="s">
        <v>443</v>
      </c>
      <c r="G192" s="2">
        <v>0</v>
      </c>
      <c r="H192" s="2" t="s">
        <v>2178</v>
      </c>
      <c r="I192" s="2" t="s">
        <v>2178</v>
      </c>
      <c r="J192" s="2" t="s">
        <v>2178</v>
      </c>
      <c r="K192" s="2" t="s">
        <v>2178</v>
      </c>
      <c r="L192" s="2" t="s">
        <v>2179</v>
      </c>
      <c r="M192" s="2" t="s">
        <v>2180</v>
      </c>
      <c r="N192" s="2" t="s">
        <v>109</v>
      </c>
      <c r="O192" s="2" t="s">
        <v>2181</v>
      </c>
    </row>
    <row r="193" spans="1:15" ht="28.5">
      <c r="A193" s="2" t="s">
        <v>1116</v>
      </c>
      <c r="B193" s="2" t="s">
        <v>650</v>
      </c>
      <c r="C193" s="2" t="s">
        <v>436</v>
      </c>
      <c r="D193" s="2" t="s">
        <v>1111</v>
      </c>
      <c r="E193" s="2" t="s">
        <v>1114</v>
      </c>
      <c r="F193" s="2" t="s">
        <v>443</v>
      </c>
      <c r="G193" s="2">
        <v>0</v>
      </c>
      <c r="H193" s="2" t="s">
        <v>2178</v>
      </c>
      <c r="I193" s="2" t="s">
        <v>2178</v>
      </c>
      <c r="J193" s="2" t="s">
        <v>2178</v>
      </c>
      <c r="K193" s="2" t="s">
        <v>2178</v>
      </c>
      <c r="L193" s="2" t="s">
        <v>2179</v>
      </c>
      <c r="M193" s="2" t="s">
        <v>2180</v>
      </c>
      <c r="N193" s="2" t="s">
        <v>109</v>
      </c>
      <c r="O193" s="2" t="s">
        <v>2181</v>
      </c>
    </row>
    <row r="194" spans="1:15" ht="28.5">
      <c r="A194" s="2" t="s">
        <v>1120</v>
      </c>
      <c r="B194" s="2" t="s">
        <v>650</v>
      </c>
      <c r="C194" s="2" t="s">
        <v>436</v>
      </c>
      <c r="D194" s="2" t="s">
        <v>1121</v>
      </c>
      <c r="E194" s="2" t="s">
        <v>1123</v>
      </c>
      <c r="F194" s="2" t="s">
        <v>443</v>
      </c>
      <c r="G194" s="2">
        <v>0</v>
      </c>
      <c r="H194" s="2" t="s">
        <v>2178</v>
      </c>
      <c r="I194" s="2" t="s">
        <v>2178</v>
      </c>
      <c r="J194" s="2" t="s">
        <v>2178</v>
      </c>
      <c r="K194" s="2" t="s">
        <v>2178</v>
      </c>
      <c r="L194" s="2" t="s">
        <v>2179</v>
      </c>
      <c r="M194" s="2" t="s">
        <v>2180</v>
      </c>
      <c r="N194" s="2" t="s">
        <v>109</v>
      </c>
      <c r="O194" s="2" t="s">
        <v>2181</v>
      </c>
    </row>
    <row r="195" spans="1:15" ht="28.5">
      <c r="A195" s="2" t="s">
        <v>1125</v>
      </c>
      <c r="B195" s="2" t="s">
        <v>650</v>
      </c>
      <c r="C195" s="2" t="s">
        <v>436</v>
      </c>
      <c r="D195" s="2" t="s">
        <v>1121</v>
      </c>
      <c r="E195" s="2" t="s">
        <v>1123</v>
      </c>
      <c r="F195" s="2" t="s">
        <v>443</v>
      </c>
      <c r="G195" s="2">
        <v>0</v>
      </c>
      <c r="H195" s="2" t="s">
        <v>2178</v>
      </c>
      <c r="I195" s="2" t="s">
        <v>2178</v>
      </c>
      <c r="J195" s="2" t="s">
        <v>2178</v>
      </c>
      <c r="K195" s="2" t="s">
        <v>2178</v>
      </c>
      <c r="L195" s="2" t="s">
        <v>2179</v>
      </c>
      <c r="M195" s="2" t="s">
        <v>2180</v>
      </c>
      <c r="N195" s="2" t="s">
        <v>109</v>
      </c>
      <c r="O195" s="2" t="s">
        <v>2181</v>
      </c>
    </row>
    <row r="196" spans="1:15" ht="28.5">
      <c r="A196" s="2" t="s">
        <v>1128</v>
      </c>
      <c r="B196" s="2" t="s">
        <v>650</v>
      </c>
      <c r="C196" s="2" t="s">
        <v>436</v>
      </c>
      <c r="D196" s="2" t="s">
        <v>1129</v>
      </c>
      <c r="E196" s="2" t="s">
        <v>1131</v>
      </c>
      <c r="F196" s="2" t="s">
        <v>443</v>
      </c>
      <c r="G196" s="2">
        <v>0</v>
      </c>
      <c r="H196" s="2" t="s">
        <v>2178</v>
      </c>
      <c r="I196" s="2" t="s">
        <v>2178</v>
      </c>
      <c r="J196" s="2" t="s">
        <v>2178</v>
      </c>
      <c r="K196" s="2" t="s">
        <v>2178</v>
      </c>
      <c r="L196" s="2" t="s">
        <v>2179</v>
      </c>
      <c r="M196" s="2" t="s">
        <v>2180</v>
      </c>
      <c r="N196" s="2" t="s">
        <v>109</v>
      </c>
      <c r="O196" s="2" t="s">
        <v>2181</v>
      </c>
    </row>
    <row r="197" spans="1:15" ht="28.5">
      <c r="A197" s="2" t="s">
        <v>1133</v>
      </c>
      <c r="B197" s="2" t="s">
        <v>650</v>
      </c>
      <c r="C197" s="2" t="s">
        <v>436</v>
      </c>
      <c r="D197" s="2" t="s">
        <v>1134</v>
      </c>
      <c r="E197" s="2" t="s">
        <v>1136</v>
      </c>
      <c r="F197" s="2" t="s">
        <v>443</v>
      </c>
      <c r="G197" s="2">
        <v>0</v>
      </c>
      <c r="H197" s="2" t="s">
        <v>2178</v>
      </c>
      <c r="I197" s="2" t="s">
        <v>2178</v>
      </c>
      <c r="J197" s="2" t="s">
        <v>2178</v>
      </c>
      <c r="K197" s="2" t="s">
        <v>2178</v>
      </c>
      <c r="L197" s="2" t="s">
        <v>2179</v>
      </c>
      <c r="M197" s="2" t="s">
        <v>2180</v>
      </c>
      <c r="N197" s="2" t="s">
        <v>109</v>
      </c>
      <c r="O197" s="2" t="s">
        <v>2181</v>
      </c>
    </row>
    <row r="198" spans="1:15" ht="28.5">
      <c r="A198" s="2" t="s">
        <v>1137</v>
      </c>
      <c r="B198" s="2" t="s">
        <v>650</v>
      </c>
      <c r="C198" s="2" t="s">
        <v>436</v>
      </c>
      <c r="D198" s="2" t="s">
        <v>1134</v>
      </c>
      <c r="E198" s="2" t="s">
        <v>1136</v>
      </c>
      <c r="F198" s="2" t="s">
        <v>443</v>
      </c>
      <c r="G198" s="2">
        <v>0</v>
      </c>
      <c r="H198" s="2" t="s">
        <v>2178</v>
      </c>
      <c r="I198" s="2" t="s">
        <v>2178</v>
      </c>
      <c r="J198" s="2" t="s">
        <v>2178</v>
      </c>
      <c r="K198" s="2" t="s">
        <v>2178</v>
      </c>
      <c r="L198" s="2" t="s">
        <v>2179</v>
      </c>
      <c r="M198" s="2" t="s">
        <v>2180</v>
      </c>
      <c r="N198" s="2" t="s">
        <v>109</v>
      </c>
      <c r="O198" s="2" t="s">
        <v>2181</v>
      </c>
    </row>
    <row r="199" spans="1:15" ht="28.5">
      <c r="A199" s="2" t="s">
        <v>1139</v>
      </c>
      <c r="B199" s="2" t="s">
        <v>650</v>
      </c>
      <c r="C199" s="2" t="s">
        <v>512</v>
      </c>
      <c r="D199" s="2" t="s">
        <v>1141</v>
      </c>
      <c r="E199" s="2" t="s">
        <v>1144</v>
      </c>
      <c r="F199" s="2" t="s">
        <v>519</v>
      </c>
      <c r="G199" s="2">
        <v>0</v>
      </c>
      <c r="H199" s="2" t="s">
        <v>2178</v>
      </c>
      <c r="I199" s="2" t="s">
        <v>2178</v>
      </c>
      <c r="J199" s="2" t="s">
        <v>2178</v>
      </c>
      <c r="K199" s="2" t="s">
        <v>2178</v>
      </c>
      <c r="L199" s="2" t="s">
        <v>2179</v>
      </c>
      <c r="M199" s="2" t="s">
        <v>2180</v>
      </c>
      <c r="N199" s="2" t="s">
        <v>109</v>
      </c>
      <c r="O199" s="2" t="s">
        <v>2181</v>
      </c>
    </row>
    <row r="200" spans="1:15" ht="28.5">
      <c r="A200" s="2" t="s">
        <v>1146</v>
      </c>
      <c r="B200" s="2" t="s">
        <v>650</v>
      </c>
      <c r="C200" s="2" t="s">
        <v>512</v>
      </c>
      <c r="D200" s="2" t="s">
        <v>1147</v>
      </c>
      <c r="E200" s="2" t="s">
        <v>1149</v>
      </c>
      <c r="F200" s="2" t="s">
        <v>519</v>
      </c>
      <c r="G200" s="2">
        <v>0</v>
      </c>
      <c r="H200" s="2" t="s">
        <v>2178</v>
      </c>
      <c r="I200" s="2" t="s">
        <v>2178</v>
      </c>
      <c r="J200" s="2" t="s">
        <v>2178</v>
      </c>
      <c r="K200" s="2" t="s">
        <v>2178</v>
      </c>
      <c r="L200" s="2" t="s">
        <v>2179</v>
      </c>
      <c r="M200" s="2" t="s">
        <v>2180</v>
      </c>
      <c r="N200" s="2" t="s">
        <v>109</v>
      </c>
      <c r="O200" s="2" t="s">
        <v>2181</v>
      </c>
    </row>
    <row r="201" spans="1:15" ht="28.5">
      <c r="A201" s="2" t="s">
        <v>1150</v>
      </c>
      <c r="B201" s="2" t="s">
        <v>650</v>
      </c>
      <c r="C201" s="2" t="s">
        <v>512</v>
      </c>
      <c r="D201" s="2" t="s">
        <v>1151</v>
      </c>
      <c r="E201" s="2" t="s">
        <v>1153</v>
      </c>
      <c r="F201" s="2" t="s">
        <v>519</v>
      </c>
      <c r="G201" s="2">
        <v>0</v>
      </c>
      <c r="H201" s="2" t="s">
        <v>2178</v>
      </c>
      <c r="I201" s="2" t="s">
        <v>2178</v>
      </c>
      <c r="J201" s="2" t="s">
        <v>2178</v>
      </c>
      <c r="K201" s="2" t="s">
        <v>2178</v>
      </c>
      <c r="L201" s="2" t="s">
        <v>2179</v>
      </c>
      <c r="M201" s="2" t="s">
        <v>2180</v>
      </c>
      <c r="N201" s="2" t="s">
        <v>109</v>
      </c>
      <c r="O201" s="2" t="s">
        <v>2181</v>
      </c>
    </row>
    <row r="202" spans="1:15" ht="28.5">
      <c r="A202" s="2" t="s">
        <v>1154</v>
      </c>
      <c r="B202" s="2" t="s">
        <v>1155</v>
      </c>
      <c r="C202" s="2" t="s">
        <v>1156</v>
      </c>
      <c r="D202" s="2" t="s">
        <v>1159</v>
      </c>
      <c r="E202" s="2" t="s">
        <v>1165</v>
      </c>
      <c r="F202" s="2" t="s">
        <v>1166</v>
      </c>
      <c r="G202" s="2">
        <v>0</v>
      </c>
      <c r="H202" s="2" t="s">
        <v>2178</v>
      </c>
      <c r="I202" s="2" t="s">
        <v>2178</v>
      </c>
      <c r="J202" s="2" t="s">
        <v>2178</v>
      </c>
      <c r="K202" s="2" t="s">
        <v>2178</v>
      </c>
      <c r="L202" s="2" t="s">
        <v>2179</v>
      </c>
      <c r="M202" s="2" t="s">
        <v>2180</v>
      </c>
      <c r="N202" s="2" t="s">
        <v>109</v>
      </c>
      <c r="O202" s="2" t="s">
        <v>2181</v>
      </c>
    </row>
    <row r="203" spans="1:15" ht="28.5">
      <c r="A203" s="2" t="s">
        <v>1168</v>
      </c>
      <c r="B203" s="2" t="s">
        <v>1155</v>
      </c>
      <c r="C203" s="2" t="s">
        <v>1156</v>
      </c>
      <c r="D203" s="2" t="s">
        <v>1169</v>
      </c>
      <c r="E203" s="2" t="s">
        <v>1171</v>
      </c>
      <c r="F203" s="2" t="s">
        <v>1166</v>
      </c>
      <c r="G203" s="2">
        <v>0</v>
      </c>
      <c r="H203" s="2" t="s">
        <v>2178</v>
      </c>
      <c r="I203" s="2" t="s">
        <v>2178</v>
      </c>
      <c r="J203" s="2" t="s">
        <v>2178</v>
      </c>
      <c r="K203" s="2" t="s">
        <v>2178</v>
      </c>
      <c r="L203" s="2" t="s">
        <v>2179</v>
      </c>
      <c r="M203" s="2" t="s">
        <v>2180</v>
      </c>
      <c r="N203" s="2" t="s">
        <v>109</v>
      </c>
      <c r="O203" s="2" t="s">
        <v>2181</v>
      </c>
    </row>
    <row r="204" spans="1:15" ht="28.5">
      <c r="A204" s="2" t="s">
        <v>1173</v>
      </c>
      <c r="B204" s="2" t="s">
        <v>1155</v>
      </c>
      <c r="C204" s="2" t="s">
        <v>1156</v>
      </c>
      <c r="D204" s="2" t="s">
        <v>1174</v>
      </c>
      <c r="E204" s="2" t="s">
        <v>1176</v>
      </c>
      <c r="F204" s="2" t="s">
        <v>1166</v>
      </c>
      <c r="G204" s="2">
        <v>0</v>
      </c>
      <c r="H204" s="2" t="s">
        <v>2178</v>
      </c>
      <c r="I204" s="2" t="s">
        <v>2178</v>
      </c>
      <c r="J204" s="2" t="s">
        <v>2178</v>
      </c>
      <c r="K204" s="2" t="s">
        <v>2178</v>
      </c>
      <c r="L204" s="2" t="s">
        <v>2179</v>
      </c>
      <c r="M204" s="2" t="s">
        <v>2180</v>
      </c>
      <c r="N204" s="2" t="s">
        <v>109</v>
      </c>
      <c r="O204" s="2" t="s">
        <v>2181</v>
      </c>
    </row>
    <row r="205" spans="1:15" ht="28.5">
      <c r="A205" s="2" t="s">
        <v>1178</v>
      </c>
      <c r="B205" s="2" t="s">
        <v>1155</v>
      </c>
      <c r="C205" s="2" t="s">
        <v>1156</v>
      </c>
      <c r="D205" s="2" t="s">
        <v>1179</v>
      </c>
      <c r="E205" s="2" t="s">
        <v>1181</v>
      </c>
      <c r="F205" s="2" t="s">
        <v>1166</v>
      </c>
      <c r="G205" s="2">
        <v>0</v>
      </c>
      <c r="H205" s="2" t="s">
        <v>2178</v>
      </c>
      <c r="I205" s="2" t="s">
        <v>2178</v>
      </c>
      <c r="J205" s="2" t="s">
        <v>2178</v>
      </c>
      <c r="K205" s="2" t="s">
        <v>2178</v>
      </c>
      <c r="L205" s="2" t="s">
        <v>2179</v>
      </c>
      <c r="M205" s="2" t="s">
        <v>2180</v>
      </c>
      <c r="N205" s="2" t="s">
        <v>109</v>
      </c>
      <c r="O205" s="2" t="s">
        <v>2181</v>
      </c>
    </row>
    <row r="206" spans="1:15" ht="28.5">
      <c r="A206" s="2" t="s">
        <v>1183</v>
      </c>
      <c r="B206" s="2" t="s">
        <v>1155</v>
      </c>
      <c r="C206" s="2" t="s">
        <v>1156</v>
      </c>
      <c r="D206" s="2" t="s">
        <v>1184</v>
      </c>
      <c r="E206" s="2" t="s">
        <v>1186</v>
      </c>
      <c r="F206" s="2" t="s">
        <v>1166</v>
      </c>
      <c r="G206" s="2">
        <v>0</v>
      </c>
      <c r="H206" s="2" t="s">
        <v>2178</v>
      </c>
      <c r="I206" s="2" t="s">
        <v>2178</v>
      </c>
      <c r="J206" s="2" t="s">
        <v>2178</v>
      </c>
      <c r="K206" s="2" t="s">
        <v>2178</v>
      </c>
      <c r="L206" s="2" t="s">
        <v>2179</v>
      </c>
      <c r="M206" s="2" t="s">
        <v>2180</v>
      </c>
      <c r="N206" s="2" t="s">
        <v>109</v>
      </c>
      <c r="O206" s="2" t="s">
        <v>2181</v>
      </c>
    </row>
    <row r="207" spans="1:15" ht="28.5">
      <c r="A207" s="2" t="s">
        <v>1188</v>
      </c>
      <c r="B207" s="2" t="s">
        <v>1155</v>
      </c>
      <c r="C207" s="2" t="s">
        <v>1156</v>
      </c>
      <c r="D207" s="2" t="s">
        <v>1189</v>
      </c>
      <c r="E207" s="2" t="s">
        <v>1191</v>
      </c>
      <c r="F207" s="2" t="s">
        <v>1166</v>
      </c>
      <c r="G207" s="2">
        <v>0</v>
      </c>
      <c r="H207" s="2" t="s">
        <v>2178</v>
      </c>
      <c r="I207" s="2" t="s">
        <v>2178</v>
      </c>
      <c r="J207" s="2" t="s">
        <v>2178</v>
      </c>
      <c r="K207" s="2" t="s">
        <v>2178</v>
      </c>
      <c r="L207" s="2" t="s">
        <v>2179</v>
      </c>
      <c r="M207" s="2" t="s">
        <v>2180</v>
      </c>
      <c r="N207" s="2" t="s">
        <v>109</v>
      </c>
      <c r="O207" s="2" t="s">
        <v>2181</v>
      </c>
    </row>
    <row r="208" spans="1:15" ht="28.5">
      <c r="A208" s="2" t="s">
        <v>1193</v>
      </c>
      <c r="B208" s="2" t="s">
        <v>1155</v>
      </c>
      <c r="C208" s="2" t="s">
        <v>1156</v>
      </c>
      <c r="D208" s="2" t="s">
        <v>1194</v>
      </c>
      <c r="E208" s="2" t="s">
        <v>1196</v>
      </c>
      <c r="F208" s="2" t="s">
        <v>1166</v>
      </c>
      <c r="G208" s="2">
        <v>0</v>
      </c>
      <c r="H208" s="2" t="s">
        <v>2178</v>
      </c>
      <c r="I208" s="2" t="s">
        <v>2178</v>
      </c>
      <c r="J208" s="2" t="s">
        <v>2178</v>
      </c>
      <c r="K208" s="2" t="s">
        <v>2178</v>
      </c>
      <c r="L208" s="2" t="s">
        <v>2179</v>
      </c>
      <c r="M208" s="2" t="s">
        <v>2180</v>
      </c>
      <c r="N208" s="2" t="s">
        <v>109</v>
      </c>
      <c r="O208" s="2" t="s">
        <v>2181</v>
      </c>
    </row>
    <row r="209" spans="1:15" ht="28.5">
      <c r="A209" s="2" t="s">
        <v>1198</v>
      </c>
      <c r="B209" s="2" t="s">
        <v>1155</v>
      </c>
      <c r="C209" s="2" t="s">
        <v>1156</v>
      </c>
      <c r="D209" s="2" t="s">
        <v>1199</v>
      </c>
      <c r="E209" s="2" t="s">
        <v>1201</v>
      </c>
      <c r="F209" s="2" t="s">
        <v>1166</v>
      </c>
      <c r="G209" s="2">
        <v>0</v>
      </c>
      <c r="H209" s="2" t="s">
        <v>2178</v>
      </c>
      <c r="I209" s="2" t="s">
        <v>2178</v>
      </c>
      <c r="J209" s="2" t="s">
        <v>2178</v>
      </c>
      <c r="K209" s="2" t="s">
        <v>2178</v>
      </c>
      <c r="L209" s="2" t="s">
        <v>2179</v>
      </c>
      <c r="M209" s="2" t="s">
        <v>2180</v>
      </c>
      <c r="N209" s="2" t="s">
        <v>109</v>
      </c>
      <c r="O209" s="2" t="s">
        <v>2181</v>
      </c>
    </row>
    <row r="210" spans="1:15" ht="28.5">
      <c r="A210" s="2" t="s">
        <v>1203</v>
      </c>
      <c r="B210" s="2" t="s">
        <v>1155</v>
      </c>
      <c r="C210" s="2" t="s">
        <v>1156</v>
      </c>
      <c r="D210" s="2" t="s">
        <v>1204</v>
      </c>
      <c r="E210" s="2" t="s">
        <v>1206</v>
      </c>
      <c r="F210" s="2" t="s">
        <v>1166</v>
      </c>
      <c r="G210" s="2">
        <v>0</v>
      </c>
      <c r="H210" s="2" t="s">
        <v>2178</v>
      </c>
      <c r="I210" s="2" t="s">
        <v>2178</v>
      </c>
      <c r="J210" s="2" t="s">
        <v>2178</v>
      </c>
      <c r="K210" s="2" t="s">
        <v>2178</v>
      </c>
      <c r="L210" s="2" t="s">
        <v>2179</v>
      </c>
      <c r="M210" s="2" t="s">
        <v>2180</v>
      </c>
      <c r="N210" s="2" t="s">
        <v>109</v>
      </c>
      <c r="O210" s="2" t="s">
        <v>2181</v>
      </c>
    </row>
    <row r="211" spans="1:15" ht="28.5">
      <c r="A211" s="2" t="s">
        <v>1208</v>
      </c>
      <c r="B211" s="2" t="s">
        <v>1155</v>
      </c>
      <c r="C211" s="2" t="s">
        <v>1156</v>
      </c>
      <c r="D211" s="2" t="s">
        <v>1209</v>
      </c>
      <c r="E211" s="2" t="s">
        <v>1211</v>
      </c>
      <c r="F211" s="2" t="s">
        <v>1166</v>
      </c>
      <c r="G211" s="2">
        <v>0</v>
      </c>
      <c r="H211" s="2" t="s">
        <v>2178</v>
      </c>
      <c r="I211" s="2" t="s">
        <v>2178</v>
      </c>
      <c r="J211" s="2" t="s">
        <v>2178</v>
      </c>
      <c r="K211" s="2" t="s">
        <v>2178</v>
      </c>
      <c r="L211" s="2" t="s">
        <v>2179</v>
      </c>
      <c r="M211" s="2" t="s">
        <v>2180</v>
      </c>
      <c r="N211" s="2" t="s">
        <v>109</v>
      </c>
      <c r="O211" s="2" t="s">
        <v>2181</v>
      </c>
    </row>
    <row r="212" spans="1:15" ht="28.5">
      <c r="A212" s="2" t="s">
        <v>1213</v>
      </c>
      <c r="B212" s="2" t="s">
        <v>1155</v>
      </c>
      <c r="C212" s="2" t="s">
        <v>1156</v>
      </c>
      <c r="D212" s="2" t="s">
        <v>1214</v>
      </c>
      <c r="E212" s="2" t="s">
        <v>1216</v>
      </c>
      <c r="F212" s="2" t="s">
        <v>1166</v>
      </c>
      <c r="G212" s="2">
        <v>0</v>
      </c>
      <c r="H212" s="2" t="s">
        <v>2178</v>
      </c>
      <c r="I212" s="2" t="s">
        <v>2178</v>
      </c>
      <c r="J212" s="2" t="s">
        <v>2178</v>
      </c>
      <c r="K212" s="2" t="s">
        <v>2178</v>
      </c>
      <c r="L212" s="2" t="s">
        <v>2179</v>
      </c>
      <c r="M212" s="2" t="s">
        <v>2180</v>
      </c>
      <c r="N212" s="2" t="s">
        <v>109</v>
      </c>
      <c r="O212" s="2" t="s">
        <v>2181</v>
      </c>
    </row>
    <row r="213" spans="1:15" ht="28.5">
      <c r="A213" s="2" t="s">
        <v>1218</v>
      </c>
      <c r="B213" s="2" t="s">
        <v>1155</v>
      </c>
      <c r="C213" s="2" t="s">
        <v>1156</v>
      </c>
      <c r="D213" s="2" t="s">
        <v>1219</v>
      </c>
      <c r="E213" s="2" t="s">
        <v>1221</v>
      </c>
      <c r="F213" s="2" t="s">
        <v>1166</v>
      </c>
      <c r="G213" s="2">
        <v>0</v>
      </c>
      <c r="H213" s="2" t="s">
        <v>2178</v>
      </c>
      <c r="I213" s="2" t="s">
        <v>2178</v>
      </c>
      <c r="J213" s="2" t="s">
        <v>2178</v>
      </c>
      <c r="K213" s="2" t="s">
        <v>2178</v>
      </c>
      <c r="L213" s="2" t="s">
        <v>2179</v>
      </c>
      <c r="M213" s="2" t="s">
        <v>2180</v>
      </c>
      <c r="N213" s="2" t="s">
        <v>109</v>
      </c>
      <c r="O213" s="2" t="s">
        <v>2181</v>
      </c>
    </row>
    <row r="214" spans="1:15" ht="28.5">
      <c r="A214" s="2" t="s">
        <v>1223</v>
      </c>
      <c r="B214" s="2" t="s">
        <v>1155</v>
      </c>
      <c r="C214" s="2" t="s">
        <v>1156</v>
      </c>
      <c r="D214" s="2" t="s">
        <v>1224</v>
      </c>
      <c r="E214" s="2" t="s">
        <v>1226</v>
      </c>
      <c r="F214" s="2" t="s">
        <v>1166</v>
      </c>
      <c r="G214" s="2">
        <v>0</v>
      </c>
      <c r="H214" s="2" t="s">
        <v>2178</v>
      </c>
      <c r="I214" s="2" t="s">
        <v>2178</v>
      </c>
      <c r="J214" s="2" t="s">
        <v>2178</v>
      </c>
      <c r="K214" s="2" t="s">
        <v>2178</v>
      </c>
      <c r="L214" s="2" t="s">
        <v>2179</v>
      </c>
      <c r="M214" s="2" t="s">
        <v>2180</v>
      </c>
      <c r="N214" s="2" t="s">
        <v>109</v>
      </c>
      <c r="O214" s="2" t="s">
        <v>2181</v>
      </c>
    </row>
    <row r="215" spans="1:15" ht="28.5">
      <c r="A215" s="2" t="s">
        <v>1228</v>
      </c>
      <c r="B215" s="2" t="s">
        <v>1155</v>
      </c>
      <c r="C215" s="2" t="s">
        <v>1156</v>
      </c>
      <c r="D215" s="2" t="s">
        <v>1229</v>
      </c>
      <c r="E215" s="2" t="s">
        <v>1231</v>
      </c>
      <c r="F215" s="2" t="s">
        <v>1166</v>
      </c>
      <c r="G215" s="2">
        <v>0</v>
      </c>
      <c r="H215" s="2" t="s">
        <v>2178</v>
      </c>
      <c r="I215" s="2" t="s">
        <v>2178</v>
      </c>
      <c r="J215" s="2" t="s">
        <v>2178</v>
      </c>
      <c r="K215" s="2" t="s">
        <v>2178</v>
      </c>
      <c r="L215" s="2" t="s">
        <v>2179</v>
      </c>
      <c r="M215" s="2" t="s">
        <v>2180</v>
      </c>
      <c r="N215" s="2" t="s">
        <v>109</v>
      </c>
      <c r="O215" s="2" t="s">
        <v>2181</v>
      </c>
    </row>
    <row r="216" spans="1:15" ht="28.5">
      <c r="A216" s="2" t="s">
        <v>1233</v>
      </c>
      <c r="B216" s="2" t="s">
        <v>1155</v>
      </c>
      <c r="C216" s="2" t="s">
        <v>1156</v>
      </c>
      <c r="D216" s="2" t="s">
        <v>1234</v>
      </c>
      <c r="E216" s="2" t="s">
        <v>1236</v>
      </c>
      <c r="F216" s="2" t="s">
        <v>1166</v>
      </c>
      <c r="G216" s="2">
        <v>0</v>
      </c>
      <c r="H216" s="2" t="s">
        <v>2178</v>
      </c>
      <c r="I216" s="2" t="s">
        <v>2178</v>
      </c>
      <c r="J216" s="2" t="s">
        <v>2178</v>
      </c>
      <c r="K216" s="2" t="s">
        <v>2178</v>
      </c>
      <c r="L216" s="2" t="s">
        <v>2179</v>
      </c>
      <c r="M216" s="2" t="s">
        <v>2180</v>
      </c>
      <c r="N216" s="2" t="s">
        <v>109</v>
      </c>
      <c r="O216" s="2" t="s">
        <v>2181</v>
      </c>
    </row>
    <row r="217" spans="1:15" ht="28.5">
      <c r="A217" s="2" t="s">
        <v>1238</v>
      </c>
      <c r="B217" s="2" t="s">
        <v>1155</v>
      </c>
      <c r="C217" s="2" t="s">
        <v>1156</v>
      </c>
      <c r="D217" s="2" t="s">
        <v>1239</v>
      </c>
      <c r="E217" s="2" t="s">
        <v>1241</v>
      </c>
      <c r="F217" s="2" t="s">
        <v>1166</v>
      </c>
      <c r="G217" s="2">
        <v>0</v>
      </c>
      <c r="H217" s="2" t="s">
        <v>2178</v>
      </c>
      <c r="I217" s="2" t="s">
        <v>2178</v>
      </c>
      <c r="J217" s="2" t="s">
        <v>2178</v>
      </c>
      <c r="K217" s="2" t="s">
        <v>2178</v>
      </c>
      <c r="L217" s="2" t="s">
        <v>2179</v>
      </c>
      <c r="M217" s="2" t="s">
        <v>2180</v>
      </c>
      <c r="N217" s="2" t="s">
        <v>109</v>
      </c>
      <c r="O217" s="2" t="s">
        <v>2181</v>
      </c>
    </row>
    <row r="218" spans="1:15" ht="28.5">
      <c r="A218" s="2" t="s">
        <v>1243</v>
      </c>
      <c r="B218" s="2" t="s">
        <v>1155</v>
      </c>
      <c r="C218" s="2" t="s">
        <v>1156</v>
      </c>
      <c r="D218" s="2" t="s">
        <v>1244</v>
      </c>
      <c r="E218" s="2" t="s">
        <v>1246</v>
      </c>
      <c r="F218" s="2" t="s">
        <v>1166</v>
      </c>
      <c r="G218" s="2">
        <v>0</v>
      </c>
      <c r="H218" s="2" t="s">
        <v>2178</v>
      </c>
      <c r="I218" s="2" t="s">
        <v>2178</v>
      </c>
      <c r="J218" s="2" t="s">
        <v>2178</v>
      </c>
      <c r="K218" s="2" t="s">
        <v>2178</v>
      </c>
      <c r="L218" s="2" t="s">
        <v>2179</v>
      </c>
      <c r="M218" s="2" t="s">
        <v>2180</v>
      </c>
      <c r="N218" s="2" t="s">
        <v>109</v>
      </c>
      <c r="O218" s="2" t="s">
        <v>2181</v>
      </c>
    </row>
    <row r="219" spans="1:15" ht="28.5">
      <c r="A219" s="2" t="s">
        <v>1248</v>
      </c>
      <c r="B219" s="2" t="s">
        <v>1155</v>
      </c>
      <c r="C219" s="2" t="s">
        <v>1156</v>
      </c>
      <c r="D219" s="2" t="s">
        <v>1249</v>
      </c>
      <c r="E219" s="2" t="s">
        <v>1251</v>
      </c>
      <c r="F219" s="2" t="s">
        <v>1166</v>
      </c>
      <c r="G219" s="2">
        <v>0</v>
      </c>
      <c r="H219" s="2" t="s">
        <v>2178</v>
      </c>
      <c r="I219" s="2" t="s">
        <v>2178</v>
      </c>
      <c r="J219" s="2" t="s">
        <v>2178</v>
      </c>
      <c r="K219" s="2" t="s">
        <v>2178</v>
      </c>
      <c r="L219" s="2" t="s">
        <v>2179</v>
      </c>
      <c r="M219" s="2" t="s">
        <v>2180</v>
      </c>
      <c r="N219" s="2" t="s">
        <v>109</v>
      </c>
      <c r="O219" s="2" t="s">
        <v>2181</v>
      </c>
    </row>
    <row r="220" spans="1:15" ht="28.5">
      <c r="A220" s="2" t="s">
        <v>1253</v>
      </c>
      <c r="B220" s="2" t="s">
        <v>1155</v>
      </c>
      <c r="C220" s="2" t="s">
        <v>1156</v>
      </c>
      <c r="D220" s="2" t="s">
        <v>1254</v>
      </c>
      <c r="E220" s="2" t="s">
        <v>1256</v>
      </c>
      <c r="F220" s="2" t="s">
        <v>1166</v>
      </c>
      <c r="G220" s="2">
        <v>0</v>
      </c>
      <c r="H220" s="2" t="s">
        <v>2178</v>
      </c>
      <c r="I220" s="2" t="s">
        <v>2178</v>
      </c>
      <c r="J220" s="2" t="s">
        <v>2178</v>
      </c>
      <c r="K220" s="2" t="s">
        <v>2178</v>
      </c>
      <c r="L220" s="2" t="s">
        <v>2179</v>
      </c>
      <c r="M220" s="2" t="s">
        <v>2180</v>
      </c>
      <c r="N220" s="2" t="s">
        <v>109</v>
      </c>
      <c r="O220" s="2" t="s">
        <v>2181</v>
      </c>
    </row>
    <row r="221" spans="1:15" ht="28.5">
      <c r="A221" s="2" t="s">
        <v>1258</v>
      </c>
      <c r="B221" s="2" t="s">
        <v>1155</v>
      </c>
      <c r="C221" s="2" t="s">
        <v>1156</v>
      </c>
      <c r="D221" s="2" t="s">
        <v>1259</v>
      </c>
      <c r="E221" s="2" t="s">
        <v>1261</v>
      </c>
      <c r="F221" s="2" t="s">
        <v>1166</v>
      </c>
      <c r="G221" s="2">
        <v>0</v>
      </c>
      <c r="H221" s="2" t="s">
        <v>2178</v>
      </c>
      <c r="I221" s="2" t="s">
        <v>2178</v>
      </c>
      <c r="J221" s="2" t="s">
        <v>2178</v>
      </c>
      <c r="K221" s="2" t="s">
        <v>2178</v>
      </c>
      <c r="L221" s="2" t="s">
        <v>2179</v>
      </c>
      <c r="M221" s="2" t="s">
        <v>2180</v>
      </c>
      <c r="N221" s="2" t="s">
        <v>109</v>
      </c>
      <c r="O221" s="2" t="s">
        <v>2181</v>
      </c>
    </row>
    <row r="222" spans="1:15" ht="28.5">
      <c r="A222" s="2" t="s">
        <v>1263</v>
      </c>
      <c r="B222" s="2" t="s">
        <v>1155</v>
      </c>
      <c r="C222" s="2" t="s">
        <v>1156</v>
      </c>
      <c r="D222" s="2" t="s">
        <v>1264</v>
      </c>
      <c r="E222" s="2" t="s">
        <v>1266</v>
      </c>
      <c r="F222" s="2" t="s">
        <v>1166</v>
      </c>
      <c r="G222" s="2">
        <v>0</v>
      </c>
      <c r="H222" s="2" t="s">
        <v>2178</v>
      </c>
      <c r="I222" s="2" t="s">
        <v>2178</v>
      </c>
      <c r="J222" s="2" t="s">
        <v>2178</v>
      </c>
      <c r="K222" s="2" t="s">
        <v>2178</v>
      </c>
      <c r="L222" s="2" t="s">
        <v>2179</v>
      </c>
      <c r="M222" s="2" t="s">
        <v>2180</v>
      </c>
      <c r="N222" s="2" t="s">
        <v>109</v>
      </c>
      <c r="O222" s="2" t="s">
        <v>2181</v>
      </c>
    </row>
    <row r="223" spans="1:15" ht="28.5">
      <c r="A223" s="2" t="s">
        <v>1268</v>
      </c>
      <c r="B223" s="2" t="s">
        <v>1155</v>
      </c>
      <c r="C223" s="2" t="s">
        <v>1156</v>
      </c>
      <c r="D223" s="2" t="s">
        <v>1269</v>
      </c>
      <c r="E223" s="2" t="s">
        <v>1271</v>
      </c>
      <c r="F223" s="2" t="s">
        <v>1166</v>
      </c>
      <c r="G223" s="2">
        <v>0</v>
      </c>
      <c r="H223" s="2" t="s">
        <v>2178</v>
      </c>
      <c r="I223" s="2" t="s">
        <v>2178</v>
      </c>
      <c r="J223" s="2" t="s">
        <v>2178</v>
      </c>
      <c r="K223" s="2" t="s">
        <v>2178</v>
      </c>
      <c r="L223" s="2" t="s">
        <v>2179</v>
      </c>
      <c r="M223" s="2" t="s">
        <v>2180</v>
      </c>
      <c r="N223" s="2" t="s">
        <v>109</v>
      </c>
      <c r="O223" s="2" t="s">
        <v>2181</v>
      </c>
    </row>
    <row r="224" spans="1:15" ht="28.5">
      <c r="A224" s="2" t="s">
        <v>1273</v>
      </c>
      <c r="B224" s="2" t="s">
        <v>1155</v>
      </c>
      <c r="C224" s="2" t="s">
        <v>1156</v>
      </c>
      <c r="D224" s="2" t="s">
        <v>1274</v>
      </c>
      <c r="E224" s="2" t="s">
        <v>1276</v>
      </c>
      <c r="F224" s="2" t="s">
        <v>1166</v>
      </c>
      <c r="G224" s="2">
        <v>0</v>
      </c>
      <c r="H224" s="2" t="s">
        <v>2178</v>
      </c>
      <c r="I224" s="2" t="s">
        <v>2178</v>
      </c>
      <c r="J224" s="2" t="s">
        <v>2178</v>
      </c>
      <c r="K224" s="2" t="s">
        <v>2178</v>
      </c>
      <c r="L224" s="2" t="s">
        <v>2179</v>
      </c>
      <c r="M224" s="2" t="s">
        <v>2180</v>
      </c>
      <c r="N224" s="2" t="s">
        <v>109</v>
      </c>
      <c r="O224" s="2" t="s">
        <v>2181</v>
      </c>
    </row>
    <row r="225" spans="1:15" ht="28.5">
      <c r="A225" s="2" t="s">
        <v>1278</v>
      </c>
      <c r="B225" s="2" t="s">
        <v>1155</v>
      </c>
      <c r="C225" s="2" t="s">
        <v>1156</v>
      </c>
      <c r="D225" s="2" t="s">
        <v>1279</v>
      </c>
      <c r="E225" s="2" t="s">
        <v>1281</v>
      </c>
      <c r="F225" s="2" t="s">
        <v>1166</v>
      </c>
      <c r="G225" s="2">
        <v>0</v>
      </c>
      <c r="H225" s="2" t="s">
        <v>2178</v>
      </c>
      <c r="I225" s="2" t="s">
        <v>2178</v>
      </c>
      <c r="J225" s="2" t="s">
        <v>2178</v>
      </c>
      <c r="K225" s="2" t="s">
        <v>2178</v>
      </c>
      <c r="L225" s="2" t="s">
        <v>2179</v>
      </c>
      <c r="M225" s="2" t="s">
        <v>2180</v>
      </c>
      <c r="N225" s="2" t="s">
        <v>109</v>
      </c>
      <c r="O225" s="2" t="s">
        <v>2181</v>
      </c>
    </row>
    <row r="226" spans="1:15" ht="28.5">
      <c r="A226" s="2" t="s">
        <v>1283</v>
      </c>
      <c r="B226" s="2" t="s">
        <v>1155</v>
      </c>
      <c r="C226" s="2" t="s">
        <v>1156</v>
      </c>
      <c r="D226" s="2" t="s">
        <v>1284</v>
      </c>
      <c r="E226" s="2" t="s">
        <v>1286</v>
      </c>
      <c r="F226" s="2" t="s">
        <v>1166</v>
      </c>
      <c r="G226" s="2">
        <v>0</v>
      </c>
      <c r="H226" s="2" t="s">
        <v>2178</v>
      </c>
      <c r="I226" s="2" t="s">
        <v>2178</v>
      </c>
      <c r="J226" s="2" t="s">
        <v>2178</v>
      </c>
      <c r="K226" s="2" t="s">
        <v>2178</v>
      </c>
      <c r="L226" s="2" t="s">
        <v>2179</v>
      </c>
      <c r="M226" s="2" t="s">
        <v>2180</v>
      </c>
      <c r="N226" s="2" t="s">
        <v>109</v>
      </c>
      <c r="O226" s="2" t="s">
        <v>2181</v>
      </c>
    </row>
    <row r="227" spans="1:15" ht="28.5">
      <c r="A227" s="2" t="s">
        <v>1288</v>
      </c>
      <c r="B227" s="2" t="s">
        <v>1155</v>
      </c>
      <c r="C227" s="2" t="s">
        <v>331</v>
      </c>
      <c r="D227" s="2" t="s">
        <v>1291</v>
      </c>
      <c r="E227" s="2" t="s">
        <v>1294</v>
      </c>
      <c r="F227" s="2" t="s">
        <v>1295</v>
      </c>
      <c r="G227" s="2">
        <v>0</v>
      </c>
      <c r="H227" s="2" t="s">
        <v>2178</v>
      </c>
      <c r="I227" s="2" t="s">
        <v>2178</v>
      </c>
      <c r="J227" s="2" t="s">
        <v>2178</v>
      </c>
      <c r="K227" s="2" t="s">
        <v>2178</v>
      </c>
      <c r="L227" s="2" t="s">
        <v>2182</v>
      </c>
      <c r="M227" s="2" t="s">
        <v>2180</v>
      </c>
      <c r="N227" s="2" t="s">
        <v>109</v>
      </c>
      <c r="O227" s="2" t="s">
        <v>2181</v>
      </c>
    </row>
    <row r="228" spans="1:15" ht="28.5">
      <c r="A228" s="2" t="s">
        <v>1297</v>
      </c>
      <c r="B228" s="2" t="s">
        <v>1155</v>
      </c>
      <c r="C228" s="2" t="s">
        <v>331</v>
      </c>
      <c r="D228" s="2" t="s">
        <v>1298</v>
      </c>
      <c r="E228" s="2" t="s">
        <v>1301</v>
      </c>
      <c r="F228" s="2" t="s">
        <v>1295</v>
      </c>
      <c r="G228" s="2">
        <v>0</v>
      </c>
      <c r="H228" s="2" t="s">
        <v>2178</v>
      </c>
      <c r="I228" s="2" t="s">
        <v>2178</v>
      </c>
      <c r="J228" s="2" t="s">
        <v>2178</v>
      </c>
      <c r="K228" s="2" t="s">
        <v>2178</v>
      </c>
      <c r="L228" s="2" t="s">
        <v>2182</v>
      </c>
      <c r="M228" s="2" t="s">
        <v>2180</v>
      </c>
      <c r="N228" s="2" t="s">
        <v>109</v>
      </c>
      <c r="O228" s="2" t="s">
        <v>2181</v>
      </c>
    </row>
    <row r="229" spans="1:15" ht="28.5">
      <c r="A229" s="2" t="s">
        <v>1303</v>
      </c>
      <c r="B229" s="2" t="s">
        <v>1155</v>
      </c>
      <c r="C229" s="2" t="s">
        <v>331</v>
      </c>
      <c r="D229" s="2" t="s">
        <v>1304</v>
      </c>
      <c r="E229" s="2" t="s">
        <v>1307</v>
      </c>
      <c r="F229" s="2" t="s">
        <v>1295</v>
      </c>
      <c r="G229" s="2">
        <v>0</v>
      </c>
      <c r="H229" s="2" t="s">
        <v>2178</v>
      </c>
      <c r="I229" s="2" t="s">
        <v>2178</v>
      </c>
      <c r="J229" s="2" t="s">
        <v>2178</v>
      </c>
      <c r="K229" s="2" t="s">
        <v>2178</v>
      </c>
      <c r="L229" s="2" t="s">
        <v>2182</v>
      </c>
      <c r="M229" s="2" t="s">
        <v>2180</v>
      </c>
      <c r="N229" s="2" t="s">
        <v>109</v>
      </c>
      <c r="O229" s="2" t="s">
        <v>2181</v>
      </c>
    </row>
    <row r="230" spans="1:15" ht="28.5">
      <c r="A230" s="2" t="s">
        <v>1309</v>
      </c>
      <c r="B230" s="2" t="s">
        <v>1155</v>
      </c>
      <c r="C230" s="2" t="s">
        <v>331</v>
      </c>
      <c r="D230" s="2" t="s">
        <v>1310</v>
      </c>
      <c r="E230" s="2" t="s">
        <v>1313</v>
      </c>
      <c r="F230" s="2" t="s">
        <v>1295</v>
      </c>
      <c r="G230" s="2">
        <v>0</v>
      </c>
      <c r="H230" s="2" t="s">
        <v>2178</v>
      </c>
      <c r="I230" s="2" t="s">
        <v>2178</v>
      </c>
      <c r="J230" s="2" t="s">
        <v>2178</v>
      </c>
      <c r="K230" s="2" t="s">
        <v>2178</v>
      </c>
      <c r="L230" s="2" t="s">
        <v>2182</v>
      </c>
      <c r="M230" s="2" t="s">
        <v>2180</v>
      </c>
      <c r="N230" s="2" t="s">
        <v>109</v>
      </c>
      <c r="O230" s="2" t="s">
        <v>2181</v>
      </c>
    </row>
    <row r="231" spans="1:15" ht="28.5">
      <c r="A231" s="2" t="s">
        <v>1315</v>
      </c>
      <c r="B231" s="2" t="s">
        <v>1155</v>
      </c>
      <c r="C231" s="2" t="s">
        <v>331</v>
      </c>
      <c r="D231" s="2" t="s">
        <v>1316</v>
      </c>
      <c r="E231" s="2" t="s">
        <v>1319</v>
      </c>
      <c r="F231" s="2" t="s">
        <v>1295</v>
      </c>
      <c r="G231" s="2">
        <v>0</v>
      </c>
      <c r="H231" s="2" t="s">
        <v>2178</v>
      </c>
      <c r="I231" s="2" t="s">
        <v>2178</v>
      </c>
      <c r="J231" s="2" t="s">
        <v>2178</v>
      </c>
      <c r="K231" s="2" t="s">
        <v>2178</v>
      </c>
      <c r="L231" s="2" t="s">
        <v>2182</v>
      </c>
      <c r="M231" s="2" t="s">
        <v>2180</v>
      </c>
      <c r="N231" s="2" t="s">
        <v>109</v>
      </c>
      <c r="O231" s="2" t="s">
        <v>2181</v>
      </c>
    </row>
    <row r="232" spans="1:15" ht="28.5">
      <c r="A232" s="2" t="s">
        <v>1321</v>
      </c>
      <c r="B232" s="2" t="s">
        <v>1155</v>
      </c>
      <c r="C232" s="2" t="s">
        <v>331</v>
      </c>
      <c r="D232" s="2" t="s">
        <v>1322</v>
      </c>
      <c r="E232" s="2" t="s">
        <v>1325</v>
      </c>
      <c r="F232" s="2" t="s">
        <v>1295</v>
      </c>
      <c r="G232" s="2">
        <v>0</v>
      </c>
      <c r="H232" s="2" t="s">
        <v>2178</v>
      </c>
      <c r="I232" s="2" t="s">
        <v>2178</v>
      </c>
      <c r="J232" s="2" t="s">
        <v>2178</v>
      </c>
      <c r="K232" s="2" t="s">
        <v>2178</v>
      </c>
      <c r="L232" s="2" t="s">
        <v>2182</v>
      </c>
      <c r="M232" s="2" t="s">
        <v>2180</v>
      </c>
      <c r="N232" s="2" t="s">
        <v>109</v>
      </c>
      <c r="O232" s="2" t="s">
        <v>2181</v>
      </c>
    </row>
    <row r="233" spans="1:15" ht="28.5">
      <c r="A233" s="2" t="s">
        <v>1327</v>
      </c>
      <c r="B233" s="2" t="s">
        <v>1155</v>
      </c>
      <c r="C233" s="2" t="s">
        <v>331</v>
      </c>
      <c r="D233" s="2" t="s">
        <v>1291</v>
      </c>
      <c r="E233" s="2" t="s">
        <v>1331</v>
      </c>
      <c r="F233" s="2" t="s">
        <v>1332</v>
      </c>
      <c r="G233" s="2">
        <v>0</v>
      </c>
      <c r="H233" s="2" t="s">
        <v>2178</v>
      </c>
      <c r="I233" s="2" t="s">
        <v>2178</v>
      </c>
      <c r="J233" s="2" t="s">
        <v>2178</v>
      </c>
      <c r="K233" s="2" t="s">
        <v>2178</v>
      </c>
      <c r="L233" s="2" t="s">
        <v>2182</v>
      </c>
      <c r="M233" s="2" t="s">
        <v>2180</v>
      </c>
      <c r="N233" s="2" t="s">
        <v>109</v>
      </c>
      <c r="O233" s="2" t="s">
        <v>2181</v>
      </c>
    </row>
    <row r="234" spans="1:15" ht="28.5">
      <c r="A234" s="2" t="s">
        <v>1334</v>
      </c>
      <c r="B234" s="2" t="s">
        <v>1155</v>
      </c>
      <c r="C234" s="2" t="s">
        <v>331</v>
      </c>
      <c r="D234" s="2" t="s">
        <v>1298</v>
      </c>
      <c r="E234" s="2" t="s">
        <v>1336</v>
      </c>
      <c r="F234" s="2" t="s">
        <v>1332</v>
      </c>
      <c r="G234" s="2">
        <v>0</v>
      </c>
      <c r="H234" s="2" t="s">
        <v>2178</v>
      </c>
      <c r="I234" s="2" t="s">
        <v>2178</v>
      </c>
      <c r="J234" s="2" t="s">
        <v>2178</v>
      </c>
      <c r="K234" s="2" t="s">
        <v>2178</v>
      </c>
      <c r="L234" s="2" t="s">
        <v>2182</v>
      </c>
      <c r="M234" s="2" t="s">
        <v>2180</v>
      </c>
      <c r="N234" s="2" t="s">
        <v>109</v>
      </c>
      <c r="O234" s="2" t="s">
        <v>2181</v>
      </c>
    </row>
    <row r="235" spans="1:15" ht="28.5">
      <c r="A235" s="2" t="s">
        <v>1338</v>
      </c>
      <c r="B235" s="2" t="s">
        <v>1155</v>
      </c>
      <c r="C235" s="2" t="s">
        <v>331</v>
      </c>
      <c r="D235" s="2" t="s">
        <v>1304</v>
      </c>
      <c r="E235" s="2" t="s">
        <v>1340</v>
      </c>
      <c r="F235" s="2" t="s">
        <v>1332</v>
      </c>
      <c r="G235" s="2">
        <v>0</v>
      </c>
      <c r="H235" s="2" t="s">
        <v>2178</v>
      </c>
      <c r="I235" s="2" t="s">
        <v>2178</v>
      </c>
      <c r="J235" s="2" t="s">
        <v>2178</v>
      </c>
      <c r="K235" s="2" t="s">
        <v>2178</v>
      </c>
      <c r="L235" s="2" t="s">
        <v>2182</v>
      </c>
      <c r="M235" s="2" t="s">
        <v>2180</v>
      </c>
      <c r="N235" s="2" t="s">
        <v>109</v>
      </c>
      <c r="O235" s="2" t="s">
        <v>2181</v>
      </c>
    </row>
    <row r="236" spans="1:15" ht="28.5">
      <c r="A236" s="2" t="s">
        <v>1342</v>
      </c>
      <c r="B236" s="2" t="s">
        <v>1155</v>
      </c>
      <c r="C236" s="2" t="s">
        <v>331</v>
      </c>
      <c r="D236" s="2" t="s">
        <v>1310</v>
      </c>
      <c r="E236" s="2" t="s">
        <v>1344</v>
      </c>
      <c r="F236" s="2" t="s">
        <v>1332</v>
      </c>
      <c r="G236" s="2">
        <v>0</v>
      </c>
      <c r="H236" s="2" t="s">
        <v>2178</v>
      </c>
      <c r="I236" s="2" t="s">
        <v>2178</v>
      </c>
      <c r="J236" s="2" t="s">
        <v>2178</v>
      </c>
      <c r="K236" s="2" t="s">
        <v>2178</v>
      </c>
      <c r="L236" s="2" t="s">
        <v>2182</v>
      </c>
      <c r="M236" s="2" t="s">
        <v>2180</v>
      </c>
      <c r="N236" s="2" t="s">
        <v>109</v>
      </c>
      <c r="O236" s="2" t="s">
        <v>2181</v>
      </c>
    </row>
    <row r="237" spans="1:15" ht="28.5">
      <c r="A237" s="2" t="s">
        <v>1346</v>
      </c>
      <c r="B237" s="2" t="s">
        <v>1155</v>
      </c>
      <c r="C237" s="2" t="s">
        <v>331</v>
      </c>
      <c r="D237" s="2" t="s">
        <v>1316</v>
      </c>
      <c r="E237" s="2" t="s">
        <v>1348</v>
      </c>
      <c r="F237" s="2" t="s">
        <v>1332</v>
      </c>
      <c r="G237" s="2">
        <v>0</v>
      </c>
      <c r="H237" s="2" t="s">
        <v>2178</v>
      </c>
      <c r="I237" s="2" t="s">
        <v>2178</v>
      </c>
      <c r="J237" s="2" t="s">
        <v>2178</v>
      </c>
      <c r="K237" s="2" t="s">
        <v>2178</v>
      </c>
      <c r="L237" s="2" t="s">
        <v>2182</v>
      </c>
      <c r="M237" s="2" t="s">
        <v>2180</v>
      </c>
      <c r="N237" s="2" t="s">
        <v>109</v>
      </c>
      <c r="O237" s="2" t="s">
        <v>2181</v>
      </c>
    </row>
    <row r="238" spans="1:15" ht="28.5">
      <c r="A238" s="2" t="s">
        <v>1350</v>
      </c>
      <c r="B238" s="2" t="s">
        <v>1155</v>
      </c>
      <c r="C238" s="2" t="s">
        <v>331</v>
      </c>
      <c r="D238" s="2" t="s">
        <v>1322</v>
      </c>
      <c r="E238" s="2" t="s">
        <v>1352</v>
      </c>
      <c r="F238" s="2" t="s">
        <v>1332</v>
      </c>
      <c r="G238" s="2">
        <v>0</v>
      </c>
      <c r="H238" s="2" t="s">
        <v>2178</v>
      </c>
      <c r="I238" s="2" t="s">
        <v>2178</v>
      </c>
      <c r="J238" s="2" t="s">
        <v>2178</v>
      </c>
      <c r="K238" s="2" t="s">
        <v>2178</v>
      </c>
      <c r="L238" s="2" t="s">
        <v>2182</v>
      </c>
      <c r="M238" s="2" t="s">
        <v>2180</v>
      </c>
      <c r="N238" s="2" t="s">
        <v>109</v>
      </c>
      <c r="O238" s="2" t="s">
        <v>2181</v>
      </c>
    </row>
    <row r="239" spans="1:15" ht="28.5">
      <c r="A239" s="2" t="s">
        <v>1354</v>
      </c>
      <c r="B239" s="2" t="s">
        <v>1155</v>
      </c>
      <c r="C239" s="2" t="s">
        <v>1355</v>
      </c>
      <c r="D239" s="2" t="s">
        <v>1358</v>
      </c>
      <c r="E239" s="2" t="s">
        <v>1362</v>
      </c>
      <c r="F239" s="2" t="s">
        <v>1363</v>
      </c>
      <c r="G239" s="2">
        <v>0</v>
      </c>
      <c r="H239" s="2" t="s">
        <v>2178</v>
      </c>
      <c r="I239" s="2" t="s">
        <v>2178</v>
      </c>
      <c r="J239" s="2" t="s">
        <v>2178</v>
      </c>
      <c r="K239" s="2" t="s">
        <v>2178</v>
      </c>
      <c r="L239" s="2" t="s">
        <v>2190</v>
      </c>
      <c r="M239" s="2" t="s">
        <v>2180</v>
      </c>
      <c r="N239" s="2" t="s">
        <v>109</v>
      </c>
      <c r="O239" s="2" t="s">
        <v>2181</v>
      </c>
    </row>
    <row r="240" spans="1:15" ht="28.5">
      <c r="A240" s="2" t="s">
        <v>1366</v>
      </c>
      <c r="B240" s="2" t="s">
        <v>1155</v>
      </c>
      <c r="C240" s="2" t="s">
        <v>1355</v>
      </c>
      <c r="D240" s="2" t="s">
        <v>1367</v>
      </c>
      <c r="E240" s="2" t="s">
        <v>1369</v>
      </c>
      <c r="F240" s="2" t="s">
        <v>1370</v>
      </c>
      <c r="G240" s="2">
        <v>0</v>
      </c>
      <c r="H240" s="2" t="s">
        <v>2178</v>
      </c>
      <c r="I240" s="2" t="s">
        <v>2178</v>
      </c>
      <c r="J240" s="2" t="s">
        <v>2178</v>
      </c>
      <c r="K240" s="2" t="s">
        <v>2178</v>
      </c>
      <c r="L240" s="2" t="s">
        <v>2190</v>
      </c>
      <c r="M240" s="2" t="s">
        <v>2180</v>
      </c>
      <c r="N240" s="2" t="s">
        <v>109</v>
      </c>
      <c r="O240" s="2" t="s">
        <v>2181</v>
      </c>
    </row>
    <row r="241" spans="1:15" ht="28.5">
      <c r="A241" s="2" t="s">
        <v>1372</v>
      </c>
      <c r="B241" s="2" t="s">
        <v>1155</v>
      </c>
      <c r="C241" s="2" t="s">
        <v>1355</v>
      </c>
      <c r="D241" s="2" t="s">
        <v>1373</v>
      </c>
      <c r="E241" s="2" t="s">
        <v>1375</v>
      </c>
      <c r="F241" s="2" t="s">
        <v>1376</v>
      </c>
      <c r="G241" s="2">
        <v>0</v>
      </c>
      <c r="H241" s="2" t="s">
        <v>2178</v>
      </c>
      <c r="I241" s="2" t="s">
        <v>2178</v>
      </c>
      <c r="J241" s="2" t="s">
        <v>2178</v>
      </c>
      <c r="K241" s="2" t="s">
        <v>2178</v>
      </c>
      <c r="L241" s="2" t="s">
        <v>2190</v>
      </c>
      <c r="M241" s="2" t="s">
        <v>2180</v>
      </c>
      <c r="N241" s="2" t="s">
        <v>109</v>
      </c>
      <c r="O241" s="2" t="s">
        <v>2181</v>
      </c>
    </row>
    <row r="242" spans="1:15" ht="28.5">
      <c r="A242" s="2" t="s">
        <v>1378</v>
      </c>
      <c r="B242" s="2" t="s">
        <v>1155</v>
      </c>
      <c r="C242" s="2" t="s">
        <v>1355</v>
      </c>
      <c r="D242" s="2" t="s">
        <v>1379</v>
      </c>
      <c r="E242" s="2" t="s">
        <v>1381</v>
      </c>
      <c r="F242" s="2" t="s">
        <v>1376</v>
      </c>
      <c r="G242" s="2">
        <v>0</v>
      </c>
      <c r="H242" s="2" t="s">
        <v>2178</v>
      </c>
      <c r="I242" s="2" t="s">
        <v>2178</v>
      </c>
      <c r="J242" s="2" t="s">
        <v>2178</v>
      </c>
      <c r="K242" s="2" t="s">
        <v>2178</v>
      </c>
      <c r="L242" s="2" t="s">
        <v>2190</v>
      </c>
      <c r="M242" s="2" t="s">
        <v>2180</v>
      </c>
      <c r="N242" s="2" t="s">
        <v>109</v>
      </c>
      <c r="O242" s="2" t="s">
        <v>2181</v>
      </c>
    </row>
    <row r="243" spans="1:15" ht="28.5">
      <c r="A243" s="2" t="s">
        <v>1383</v>
      </c>
      <c r="B243" s="2" t="s">
        <v>1155</v>
      </c>
      <c r="C243" s="2" t="s">
        <v>1355</v>
      </c>
      <c r="D243" s="2" t="s">
        <v>1384</v>
      </c>
      <c r="E243" s="2" t="s">
        <v>1387</v>
      </c>
      <c r="F243" s="2" t="s">
        <v>1388</v>
      </c>
      <c r="G243" s="2">
        <v>0</v>
      </c>
      <c r="H243" s="2" t="s">
        <v>2178</v>
      </c>
      <c r="I243" s="2" t="s">
        <v>2178</v>
      </c>
      <c r="J243" s="2" t="s">
        <v>2178</v>
      </c>
      <c r="K243" s="2" t="s">
        <v>2178</v>
      </c>
      <c r="L243" s="2" t="s">
        <v>2190</v>
      </c>
      <c r="M243" s="2" t="s">
        <v>2180</v>
      </c>
      <c r="N243" s="2" t="s">
        <v>109</v>
      </c>
      <c r="O243" s="2" t="s">
        <v>2181</v>
      </c>
    </row>
    <row r="244" spans="1:15" ht="28.5">
      <c r="A244" s="2" t="s">
        <v>1390</v>
      </c>
      <c r="B244" s="2" t="s">
        <v>1155</v>
      </c>
      <c r="C244" s="2" t="s">
        <v>1355</v>
      </c>
      <c r="D244" s="2" t="s">
        <v>1391</v>
      </c>
      <c r="E244" s="2" t="s">
        <v>1393</v>
      </c>
      <c r="F244" s="2" t="s">
        <v>1394</v>
      </c>
      <c r="G244" s="2">
        <v>0</v>
      </c>
      <c r="H244" s="2" t="s">
        <v>2178</v>
      </c>
      <c r="I244" s="2" t="s">
        <v>2178</v>
      </c>
      <c r="J244" s="2" t="s">
        <v>2178</v>
      </c>
      <c r="K244" s="2" t="s">
        <v>2178</v>
      </c>
      <c r="L244" s="2" t="s">
        <v>2190</v>
      </c>
      <c r="M244" s="2" t="s">
        <v>2180</v>
      </c>
      <c r="N244" s="2" t="s">
        <v>109</v>
      </c>
      <c r="O244" s="2" t="s">
        <v>2181</v>
      </c>
    </row>
    <row r="245" spans="1:15" ht="28.5">
      <c r="A245" s="2" t="s">
        <v>1396</v>
      </c>
      <c r="B245" s="2" t="s">
        <v>1155</v>
      </c>
      <c r="C245" s="2" t="s">
        <v>1397</v>
      </c>
      <c r="D245" s="2" t="s">
        <v>1399</v>
      </c>
      <c r="E245" s="2" t="s">
        <v>1402</v>
      </c>
      <c r="F245" s="2" t="s">
        <v>1403</v>
      </c>
      <c r="G245" s="2">
        <v>0</v>
      </c>
      <c r="H245" s="2" t="s">
        <v>2178</v>
      </c>
      <c r="I245" s="2" t="s">
        <v>2178</v>
      </c>
      <c r="J245" s="2" t="s">
        <v>2178</v>
      </c>
      <c r="K245" s="2" t="s">
        <v>2178</v>
      </c>
      <c r="L245" s="2" t="s">
        <v>2191</v>
      </c>
      <c r="M245" s="2" t="s">
        <v>2180</v>
      </c>
      <c r="N245" s="2" t="s">
        <v>109</v>
      </c>
      <c r="O245" s="2" t="s">
        <v>2181</v>
      </c>
    </row>
    <row r="246" spans="1:15" ht="28.5">
      <c r="A246" s="2" t="s">
        <v>1405</v>
      </c>
      <c r="B246" s="2" t="s">
        <v>1155</v>
      </c>
      <c r="C246" s="2" t="s">
        <v>1397</v>
      </c>
      <c r="D246" s="2" t="s">
        <v>1406</v>
      </c>
      <c r="E246" s="2" t="s">
        <v>1408</v>
      </c>
      <c r="F246" s="2" t="s">
        <v>1403</v>
      </c>
      <c r="G246" s="2">
        <v>0</v>
      </c>
      <c r="H246" s="2" t="s">
        <v>2178</v>
      </c>
      <c r="I246" s="2" t="s">
        <v>2178</v>
      </c>
      <c r="J246" s="2" t="s">
        <v>2178</v>
      </c>
      <c r="K246" s="2" t="s">
        <v>2178</v>
      </c>
      <c r="L246" s="2" t="s">
        <v>2191</v>
      </c>
      <c r="M246" s="2" t="s">
        <v>2180</v>
      </c>
      <c r="N246" s="2" t="s">
        <v>109</v>
      </c>
      <c r="O246" s="2" t="s">
        <v>2181</v>
      </c>
    </row>
    <row r="247" spans="1:15" ht="28.5">
      <c r="A247" s="2" t="s">
        <v>1410</v>
      </c>
      <c r="B247" s="2" t="s">
        <v>1155</v>
      </c>
      <c r="C247" s="2" t="s">
        <v>1397</v>
      </c>
      <c r="D247" s="2" t="s">
        <v>1411</v>
      </c>
      <c r="E247" s="2" t="s">
        <v>1413</v>
      </c>
      <c r="F247" s="2" t="s">
        <v>1403</v>
      </c>
      <c r="G247" s="2">
        <v>0</v>
      </c>
      <c r="H247" s="2" t="s">
        <v>2178</v>
      </c>
      <c r="I247" s="2" t="s">
        <v>2178</v>
      </c>
      <c r="J247" s="2" t="s">
        <v>2178</v>
      </c>
      <c r="K247" s="2" t="s">
        <v>2178</v>
      </c>
      <c r="L247" s="2" t="s">
        <v>2191</v>
      </c>
      <c r="M247" s="2" t="s">
        <v>2180</v>
      </c>
      <c r="N247" s="2" t="s">
        <v>109</v>
      </c>
      <c r="O247" s="2" t="s">
        <v>2181</v>
      </c>
    </row>
    <row r="248" spans="1:15" ht="28.5">
      <c r="A248" s="2" t="s">
        <v>1415</v>
      </c>
      <c r="B248" s="2" t="s">
        <v>1155</v>
      </c>
      <c r="C248" s="2" t="s">
        <v>1397</v>
      </c>
      <c r="D248" s="2" t="s">
        <v>1416</v>
      </c>
      <c r="E248" s="2" t="s">
        <v>1418</v>
      </c>
      <c r="F248" s="2" t="s">
        <v>1403</v>
      </c>
      <c r="G248" s="2">
        <v>0</v>
      </c>
      <c r="H248" s="2" t="s">
        <v>2178</v>
      </c>
      <c r="I248" s="2" t="s">
        <v>2178</v>
      </c>
      <c r="J248" s="2" t="s">
        <v>2178</v>
      </c>
      <c r="K248" s="2" t="s">
        <v>2178</v>
      </c>
      <c r="L248" s="2" t="s">
        <v>2191</v>
      </c>
      <c r="M248" s="2" t="s">
        <v>2180</v>
      </c>
      <c r="N248" s="2" t="s">
        <v>109</v>
      </c>
      <c r="O248" s="2" t="s">
        <v>2181</v>
      </c>
    </row>
    <row r="249" spans="1:15" ht="28.5">
      <c r="A249" s="2" t="s">
        <v>1420</v>
      </c>
      <c r="B249" s="2" t="s">
        <v>1155</v>
      </c>
      <c r="C249" s="2" t="s">
        <v>1397</v>
      </c>
      <c r="D249" s="2" t="s">
        <v>1421</v>
      </c>
      <c r="E249" s="2" t="s">
        <v>1423</v>
      </c>
      <c r="F249" s="2" t="s">
        <v>1403</v>
      </c>
      <c r="G249" s="2">
        <v>0</v>
      </c>
      <c r="H249" s="2" t="s">
        <v>2178</v>
      </c>
      <c r="I249" s="2" t="s">
        <v>2178</v>
      </c>
      <c r="J249" s="2" t="s">
        <v>2178</v>
      </c>
      <c r="K249" s="2" t="s">
        <v>2178</v>
      </c>
      <c r="L249" s="2" t="s">
        <v>2191</v>
      </c>
      <c r="M249" s="2" t="s">
        <v>2180</v>
      </c>
      <c r="N249" s="2" t="s">
        <v>109</v>
      </c>
      <c r="O249" s="2" t="s">
        <v>2181</v>
      </c>
    </row>
    <row r="250" spans="1:15" ht="28.5">
      <c r="A250" s="2" t="s">
        <v>1425</v>
      </c>
      <c r="B250" s="2" t="s">
        <v>1155</v>
      </c>
      <c r="C250" s="2" t="s">
        <v>1397</v>
      </c>
      <c r="D250" s="2" t="s">
        <v>1426</v>
      </c>
      <c r="E250" s="2" t="s">
        <v>1428</v>
      </c>
      <c r="F250" s="2" t="s">
        <v>1403</v>
      </c>
      <c r="G250" s="2">
        <v>0</v>
      </c>
      <c r="H250" s="2" t="s">
        <v>2178</v>
      </c>
      <c r="I250" s="2" t="s">
        <v>2178</v>
      </c>
      <c r="J250" s="2" t="s">
        <v>2178</v>
      </c>
      <c r="K250" s="2" t="s">
        <v>2178</v>
      </c>
      <c r="L250" s="2" t="s">
        <v>2191</v>
      </c>
      <c r="M250" s="2" t="s">
        <v>2180</v>
      </c>
      <c r="N250" s="2" t="s">
        <v>109</v>
      </c>
      <c r="O250" s="2" t="s">
        <v>2181</v>
      </c>
    </row>
    <row r="251" spans="1:15" ht="28.5">
      <c r="A251" s="2" t="s">
        <v>1430</v>
      </c>
      <c r="B251" s="2" t="s">
        <v>1155</v>
      </c>
      <c r="C251" s="2" t="s">
        <v>1397</v>
      </c>
      <c r="D251" s="2" t="s">
        <v>1431</v>
      </c>
      <c r="E251" s="2" t="s">
        <v>1433</v>
      </c>
      <c r="F251" s="2" t="s">
        <v>1403</v>
      </c>
      <c r="G251" s="2">
        <v>0</v>
      </c>
      <c r="H251" s="2" t="s">
        <v>2178</v>
      </c>
      <c r="I251" s="2" t="s">
        <v>2178</v>
      </c>
      <c r="J251" s="2" t="s">
        <v>2178</v>
      </c>
      <c r="K251" s="2" t="s">
        <v>2178</v>
      </c>
      <c r="L251" s="2" t="s">
        <v>2191</v>
      </c>
      <c r="M251" s="2" t="s">
        <v>2180</v>
      </c>
      <c r="N251" s="2" t="s">
        <v>109</v>
      </c>
      <c r="O251" s="2" t="s">
        <v>2181</v>
      </c>
    </row>
    <row r="252" spans="1:15" ht="28.5">
      <c r="A252" s="2" t="s">
        <v>1435</v>
      </c>
      <c r="B252" s="2" t="s">
        <v>1155</v>
      </c>
      <c r="C252" s="2" t="s">
        <v>1397</v>
      </c>
      <c r="D252" s="2" t="s">
        <v>1436</v>
      </c>
      <c r="E252" s="2" t="s">
        <v>1438</v>
      </c>
      <c r="F252" s="2" t="s">
        <v>1403</v>
      </c>
      <c r="G252" s="2">
        <v>0</v>
      </c>
      <c r="H252" s="2" t="s">
        <v>2178</v>
      </c>
      <c r="I252" s="2" t="s">
        <v>2178</v>
      </c>
      <c r="J252" s="2" t="s">
        <v>2178</v>
      </c>
      <c r="K252" s="2" t="s">
        <v>2178</v>
      </c>
      <c r="L252" s="2" t="s">
        <v>2191</v>
      </c>
      <c r="M252" s="2" t="s">
        <v>2180</v>
      </c>
      <c r="N252" s="2" t="s">
        <v>109</v>
      </c>
      <c r="O252" s="2" t="s">
        <v>2181</v>
      </c>
    </row>
    <row r="253" spans="1:15" ht="28.5">
      <c r="A253" s="2" t="s">
        <v>1440</v>
      </c>
      <c r="B253" s="2" t="s">
        <v>1155</v>
      </c>
      <c r="C253" s="2" t="s">
        <v>1397</v>
      </c>
      <c r="D253" s="2" t="s">
        <v>1441</v>
      </c>
      <c r="E253" s="2" t="s">
        <v>1443</v>
      </c>
      <c r="F253" s="2" t="s">
        <v>1403</v>
      </c>
      <c r="G253" s="2">
        <v>0</v>
      </c>
      <c r="H253" s="2" t="s">
        <v>2178</v>
      </c>
      <c r="I253" s="2" t="s">
        <v>2178</v>
      </c>
      <c r="J253" s="2" t="s">
        <v>2178</v>
      </c>
      <c r="K253" s="2" t="s">
        <v>2178</v>
      </c>
      <c r="L253" s="2" t="s">
        <v>2191</v>
      </c>
      <c r="M253" s="2" t="s">
        <v>2180</v>
      </c>
      <c r="N253" s="2" t="s">
        <v>109</v>
      </c>
      <c r="O253" s="2" t="s">
        <v>2181</v>
      </c>
    </row>
    <row r="254" spans="1:15" ht="28.5">
      <c r="A254" s="2" t="s">
        <v>1445</v>
      </c>
      <c r="B254" s="2" t="s">
        <v>1155</v>
      </c>
      <c r="C254" s="2" t="s">
        <v>1397</v>
      </c>
      <c r="D254" s="2" t="s">
        <v>1446</v>
      </c>
      <c r="E254" s="2" t="s">
        <v>1448</v>
      </c>
      <c r="F254" s="2" t="s">
        <v>1403</v>
      </c>
      <c r="G254" s="2">
        <v>0</v>
      </c>
      <c r="H254" s="2" t="s">
        <v>2178</v>
      </c>
      <c r="I254" s="2" t="s">
        <v>2178</v>
      </c>
      <c r="J254" s="2" t="s">
        <v>2178</v>
      </c>
      <c r="K254" s="2" t="s">
        <v>2178</v>
      </c>
      <c r="L254" s="2" t="s">
        <v>2191</v>
      </c>
      <c r="M254" s="2" t="s">
        <v>2180</v>
      </c>
      <c r="N254" s="2" t="s">
        <v>109</v>
      </c>
      <c r="O254" s="2" t="s">
        <v>2181</v>
      </c>
    </row>
    <row r="255" spans="1:15" ht="28.5">
      <c r="A255" s="2" t="s">
        <v>1450</v>
      </c>
      <c r="B255" s="2" t="s">
        <v>1155</v>
      </c>
      <c r="C255" s="2" t="s">
        <v>1397</v>
      </c>
      <c r="D255" s="2" t="s">
        <v>1451</v>
      </c>
      <c r="E255" s="2" t="s">
        <v>1453</v>
      </c>
      <c r="F255" s="2" t="s">
        <v>1403</v>
      </c>
      <c r="G255" s="2">
        <v>0</v>
      </c>
      <c r="H255" s="2" t="s">
        <v>2178</v>
      </c>
      <c r="I255" s="2" t="s">
        <v>2178</v>
      </c>
      <c r="J255" s="2" t="s">
        <v>2178</v>
      </c>
      <c r="K255" s="2" t="s">
        <v>2178</v>
      </c>
      <c r="L255" s="2" t="s">
        <v>2191</v>
      </c>
      <c r="M255" s="2" t="s">
        <v>2180</v>
      </c>
      <c r="N255" s="2" t="s">
        <v>109</v>
      </c>
      <c r="O255" s="2" t="s">
        <v>2181</v>
      </c>
    </row>
    <row r="256" spans="1:15" ht="28.5">
      <c r="A256" s="2" t="s">
        <v>1455</v>
      </c>
      <c r="B256" s="2" t="s">
        <v>1155</v>
      </c>
      <c r="C256" s="2" t="s">
        <v>1397</v>
      </c>
      <c r="D256" s="2" t="s">
        <v>1456</v>
      </c>
      <c r="E256" s="2" t="s">
        <v>1458</v>
      </c>
      <c r="F256" s="2" t="s">
        <v>1403</v>
      </c>
      <c r="G256" s="2">
        <v>0</v>
      </c>
      <c r="H256" s="2" t="s">
        <v>2178</v>
      </c>
      <c r="I256" s="2" t="s">
        <v>2178</v>
      </c>
      <c r="J256" s="2" t="s">
        <v>2178</v>
      </c>
      <c r="K256" s="2" t="s">
        <v>2178</v>
      </c>
      <c r="L256" s="2" t="s">
        <v>2191</v>
      </c>
      <c r="M256" s="2" t="s">
        <v>2180</v>
      </c>
      <c r="N256" s="2" t="s">
        <v>109</v>
      </c>
      <c r="O256" s="2" t="s">
        <v>2181</v>
      </c>
    </row>
    <row r="257" spans="1:15" ht="28.5">
      <c r="A257" s="2" t="s">
        <v>1460</v>
      </c>
      <c r="B257" s="2" t="s">
        <v>1155</v>
      </c>
      <c r="C257" s="2" t="s">
        <v>1397</v>
      </c>
      <c r="D257" s="2" t="s">
        <v>1461</v>
      </c>
      <c r="E257" s="2" t="s">
        <v>1463</v>
      </c>
      <c r="F257" s="2" t="s">
        <v>1403</v>
      </c>
      <c r="G257" s="2">
        <v>0</v>
      </c>
      <c r="H257" s="2" t="s">
        <v>2178</v>
      </c>
      <c r="I257" s="2" t="s">
        <v>2178</v>
      </c>
      <c r="J257" s="2" t="s">
        <v>2178</v>
      </c>
      <c r="K257" s="2" t="s">
        <v>2178</v>
      </c>
      <c r="L257" s="2" t="s">
        <v>2191</v>
      </c>
      <c r="M257" s="2" t="s">
        <v>2180</v>
      </c>
      <c r="N257" s="2" t="s">
        <v>109</v>
      </c>
      <c r="O257" s="2" t="s">
        <v>2181</v>
      </c>
    </row>
    <row r="258" spans="1:15" ht="28.5">
      <c r="A258" s="2" t="s">
        <v>1465</v>
      </c>
      <c r="B258" s="2" t="s">
        <v>1155</v>
      </c>
      <c r="C258" s="2" t="s">
        <v>1397</v>
      </c>
      <c r="D258" s="2" t="s">
        <v>1466</v>
      </c>
      <c r="E258" s="2" t="s">
        <v>1468</v>
      </c>
      <c r="F258" s="2" t="s">
        <v>1403</v>
      </c>
      <c r="G258" s="2">
        <v>0</v>
      </c>
      <c r="H258" s="2" t="s">
        <v>2178</v>
      </c>
      <c r="I258" s="2" t="s">
        <v>2178</v>
      </c>
      <c r="J258" s="2" t="s">
        <v>2178</v>
      </c>
      <c r="K258" s="2" t="s">
        <v>2178</v>
      </c>
      <c r="L258" s="2" t="s">
        <v>2191</v>
      </c>
      <c r="M258" s="2" t="s">
        <v>2180</v>
      </c>
      <c r="N258" s="2" t="s">
        <v>109</v>
      </c>
      <c r="O258" s="2" t="s">
        <v>2181</v>
      </c>
    </row>
    <row r="259" spans="1:15" ht="28.5">
      <c r="A259" s="2" t="s">
        <v>1470</v>
      </c>
      <c r="B259" s="2" t="s">
        <v>1155</v>
      </c>
      <c r="C259" s="2" t="s">
        <v>1397</v>
      </c>
      <c r="D259" s="2" t="s">
        <v>1471</v>
      </c>
      <c r="E259" s="2" t="s">
        <v>1473</v>
      </c>
      <c r="F259" s="2" t="s">
        <v>1403</v>
      </c>
      <c r="G259" s="2">
        <v>0</v>
      </c>
      <c r="H259" s="2" t="s">
        <v>2178</v>
      </c>
      <c r="I259" s="2" t="s">
        <v>2178</v>
      </c>
      <c r="J259" s="2" t="s">
        <v>2178</v>
      </c>
      <c r="K259" s="2" t="s">
        <v>2178</v>
      </c>
      <c r="L259" s="2" t="s">
        <v>2191</v>
      </c>
      <c r="M259" s="2" t="s">
        <v>2180</v>
      </c>
      <c r="N259" s="2" t="s">
        <v>109</v>
      </c>
      <c r="O259" s="2" t="s">
        <v>2181</v>
      </c>
    </row>
    <row r="260" spans="1:15" ht="28.5">
      <c r="A260" s="2" t="s">
        <v>1475</v>
      </c>
      <c r="B260" s="2" t="s">
        <v>1155</v>
      </c>
      <c r="C260" s="2" t="s">
        <v>1397</v>
      </c>
      <c r="D260" s="2" t="s">
        <v>1476</v>
      </c>
      <c r="E260" s="2" t="s">
        <v>1478</v>
      </c>
      <c r="F260" s="2" t="s">
        <v>1403</v>
      </c>
      <c r="G260" s="2">
        <v>0</v>
      </c>
      <c r="H260" s="2" t="s">
        <v>2178</v>
      </c>
      <c r="I260" s="2" t="s">
        <v>2178</v>
      </c>
      <c r="J260" s="2" t="s">
        <v>2178</v>
      </c>
      <c r="K260" s="2" t="s">
        <v>2178</v>
      </c>
      <c r="L260" s="2" t="s">
        <v>2191</v>
      </c>
      <c r="M260" s="2" t="s">
        <v>2180</v>
      </c>
      <c r="N260" s="2" t="s">
        <v>109</v>
      </c>
      <c r="O260" s="2" t="s">
        <v>2181</v>
      </c>
    </row>
    <row r="261" spans="1:15" ht="28.5">
      <c r="A261" s="2" t="s">
        <v>1480</v>
      </c>
      <c r="B261" s="2" t="s">
        <v>1155</v>
      </c>
      <c r="C261" s="2" t="s">
        <v>1397</v>
      </c>
      <c r="D261" s="2" t="s">
        <v>1481</v>
      </c>
      <c r="E261" s="2" t="s">
        <v>1483</v>
      </c>
      <c r="F261" s="2" t="s">
        <v>1403</v>
      </c>
      <c r="G261" s="2">
        <v>0</v>
      </c>
      <c r="H261" s="2" t="s">
        <v>2178</v>
      </c>
      <c r="I261" s="2" t="s">
        <v>2178</v>
      </c>
      <c r="J261" s="2" t="s">
        <v>2178</v>
      </c>
      <c r="K261" s="2" t="s">
        <v>2178</v>
      </c>
      <c r="L261" s="2" t="s">
        <v>2191</v>
      </c>
      <c r="M261" s="2" t="s">
        <v>2180</v>
      </c>
      <c r="N261" s="2" t="s">
        <v>109</v>
      </c>
      <c r="O261" s="2" t="s">
        <v>2181</v>
      </c>
    </row>
    <row r="262" spans="1:15" ht="28.5">
      <c r="A262" s="2" t="s">
        <v>1485</v>
      </c>
      <c r="B262" s="2" t="s">
        <v>1155</v>
      </c>
      <c r="C262" s="2" t="s">
        <v>1397</v>
      </c>
      <c r="D262" s="2" t="s">
        <v>1486</v>
      </c>
      <c r="E262" s="2" t="s">
        <v>1488</v>
      </c>
      <c r="F262" s="2" t="s">
        <v>1489</v>
      </c>
      <c r="G262" s="2">
        <v>0</v>
      </c>
      <c r="H262" s="2" t="s">
        <v>2178</v>
      </c>
      <c r="I262" s="2" t="s">
        <v>2178</v>
      </c>
      <c r="J262" s="2" t="s">
        <v>2178</v>
      </c>
      <c r="K262" s="2" t="s">
        <v>2178</v>
      </c>
      <c r="L262" s="2" t="s">
        <v>2191</v>
      </c>
      <c r="M262" s="2" t="s">
        <v>2180</v>
      </c>
      <c r="N262" s="2" t="s">
        <v>109</v>
      </c>
      <c r="O262" s="2" t="s">
        <v>2181</v>
      </c>
    </row>
    <row r="263" spans="1:15" ht="28.5">
      <c r="A263" s="2" t="s">
        <v>1491</v>
      </c>
      <c r="B263" s="2" t="s">
        <v>1155</v>
      </c>
      <c r="C263" s="2" t="s">
        <v>1397</v>
      </c>
      <c r="D263" s="2" t="s">
        <v>1492</v>
      </c>
      <c r="E263" s="2" t="s">
        <v>1494</v>
      </c>
      <c r="F263" s="2" t="s">
        <v>1495</v>
      </c>
      <c r="G263" s="2">
        <v>0</v>
      </c>
      <c r="H263" s="2" t="s">
        <v>2178</v>
      </c>
      <c r="I263" s="2" t="s">
        <v>2178</v>
      </c>
      <c r="J263" s="2" t="s">
        <v>2178</v>
      </c>
      <c r="K263" s="2" t="s">
        <v>2178</v>
      </c>
      <c r="L263" s="2" t="s">
        <v>2191</v>
      </c>
      <c r="M263" s="2" t="s">
        <v>2180</v>
      </c>
      <c r="N263" s="2" t="s">
        <v>109</v>
      </c>
      <c r="O263" s="2" t="s">
        <v>2181</v>
      </c>
    </row>
    <row r="264" spans="1:15" ht="28.5">
      <c r="A264" s="2" t="s">
        <v>1497</v>
      </c>
      <c r="B264" s="2" t="s">
        <v>1155</v>
      </c>
      <c r="C264" s="2" t="s">
        <v>1397</v>
      </c>
      <c r="D264" s="2" t="s">
        <v>1498</v>
      </c>
      <c r="E264" s="2" t="s">
        <v>1500</v>
      </c>
      <c r="F264" s="2" t="s">
        <v>1501</v>
      </c>
      <c r="G264" s="2">
        <v>0</v>
      </c>
      <c r="H264" s="2" t="s">
        <v>2178</v>
      </c>
      <c r="I264" s="2" t="s">
        <v>2178</v>
      </c>
      <c r="J264" s="2" t="s">
        <v>2178</v>
      </c>
      <c r="K264" s="2" t="s">
        <v>2178</v>
      </c>
      <c r="L264" s="2" t="s">
        <v>2191</v>
      </c>
      <c r="M264" s="2" t="s">
        <v>2180</v>
      </c>
      <c r="N264" s="2" t="s">
        <v>109</v>
      </c>
      <c r="O264" s="2" t="s">
        <v>2181</v>
      </c>
    </row>
    <row r="265" spans="1:15" ht="28.5">
      <c r="A265" s="2" t="s">
        <v>1503</v>
      </c>
      <c r="B265" s="2" t="s">
        <v>1155</v>
      </c>
      <c r="C265" s="2" t="s">
        <v>1397</v>
      </c>
      <c r="D265" s="2" t="s">
        <v>1504</v>
      </c>
      <c r="E265" s="2" t="s">
        <v>1506</v>
      </c>
      <c r="F265" s="2" t="s">
        <v>1507</v>
      </c>
      <c r="G265" s="2">
        <v>0</v>
      </c>
      <c r="H265" s="2" t="s">
        <v>2178</v>
      </c>
      <c r="I265" s="2" t="s">
        <v>2178</v>
      </c>
      <c r="J265" s="2" t="s">
        <v>2178</v>
      </c>
      <c r="K265" s="2" t="s">
        <v>2178</v>
      </c>
      <c r="L265" s="2" t="s">
        <v>2191</v>
      </c>
      <c r="M265" s="2" t="s">
        <v>2180</v>
      </c>
      <c r="N265" s="2" t="s">
        <v>109</v>
      </c>
      <c r="O265" s="2" t="s">
        <v>2181</v>
      </c>
    </row>
    <row r="266" spans="1:15" ht="28.5">
      <c r="A266" s="2" t="s">
        <v>1509</v>
      </c>
      <c r="B266" s="2" t="s">
        <v>1155</v>
      </c>
      <c r="C266" s="2" t="s">
        <v>1397</v>
      </c>
      <c r="D266" s="2" t="s">
        <v>1510</v>
      </c>
      <c r="E266" s="2" t="s">
        <v>1512</v>
      </c>
      <c r="F266" s="2" t="s">
        <v>1513</v>
      </c>
      <c r="G266" s="2">
        <v>0</v>
      </c>
      <c r="H266" s="2" t="s">
        <v>2178</v>
      </c>
      <c r="I266" s="2" t="s">
        <v>2178</v>
      </c>
      <c r="J266" s="2" t="s">
        <v>2178</v>
      </c>
      <c r="K266" s="2" t="s">
        <v>2178</v>
      </c>
      <c r="L266" s="2" t="s">
        <v>2191</v>
      </c>
      <c r="M266" s="2" t="s">
        <v>2180</v>
      </c>
      <c r="N266" s="2" t="s">
        <v>109</v>
      </c>
      <c r="O266" s="2" t="s">
        <v>2181</v>
      </c>
    </row>
    <row r="267" spans="1:15" ht="28.5">
      <c r="A267" s="2" t="s">
        <v>1515</v>
      </c>
      <c r="B267" s="2" t="s">
        <v>1155</v>
      </c>
      <c r="C267" s="2" t="s">
        <v>1397</v>
      </c>
      <c r="D267" s="2" t="s">
        <v>1516</v>
      </c>
      <c r="E267" s="2" t="s">
        <v>1518</v>
      </c>
      <c r="F267" s="2" t="s">
        <v>1519</v>
      </c>
      <c r="G267" s="2">
        <v>0</v>
      </c>
      <c r="H267" s="2" t="s">
        <v>2178</v>
      </c>
      <c r="I267" s="2" t="s">
        <v>2178</v>
      </c>
      <c r="J267" s="2" t="s">
        <v>2178</v>
      </c>
      <c r="K267" s="2" t="s">
        <v>2178</v>
      </c>
      <c r="L267" s="2" t="s">
        <v>2191</v>
      </c>
      <c r="M267" s="2" t="s">
        <v>2180</v>
      </c>
      <c r="N267" s="2" t="s">
        <v>109</v>
      </c>
      <c r="O267" s="2" t="s">
        <v>2181</v>
      </c>
    </row>
    <row r="268" spans="1:15" ht="28.5">
      <c r="A268" s="2" t="s">
        <v>1521</v>
      </c>
      <c r="B268" s="2" t="s">
        <v>1155</v>
      </c>
      <c r="C268" s="2" t="s">
        <v>1397</v>
      </c>
      <c r="D268" s="2" t="s">
        <v>1522</v>
      </c>
      <c r="E268" s="2" t="s">
        <v>1524</v>
      </c>
      <c r="F268" s="2" t="s">
        <v>1525</v>
      </c>
      <c r="G268" s="2">
        <v>0</v>
      </c>
      <c r="H268" s="2" t="s">
        <v>2178</v>
      </c>
      <c r="I268" s="2" t="s">
        <v>2178</v>
      </c>
      <c r="J268" s="2" t="s">
        <v>2178</v>
      </c>
      <c r="K268" s="2" t="s">
        <v>2178</v>
      </c>
      <c r="L268" s="2" t="s">
        <v>2191</v>
      </c>
      <c r="M268" s="2" t="s">
        <v>2180</v>
      </c>
      <c r="N268" s="2" t="s">
        <v>109</v>
      </c>
      <c r="O268" s="2" t="s">
        <v>2181</v>
      </c>
    </row>
    <row r="269" spans="1:15" ht="28.5">
      <c r="A269" s="2" t="s">
        <v>1527</v>
      </c>
      <c r="B269" s="2" t="s">
        <v>1155</v>
      </c>
      <c r="C269" s="2" t="s">
        <v>1397</v>
      </c>
      <c r="D269" s="2" t="s">
        <v>1528</v>
      </c>
      <c r="E269" s="2" t="s">
        <v>1530</v>
      </c>
      <c r="F269" s="2" t="s">
        <v>1531</v>
      </c>
      <c r="G269" s="2">
        <v>0</v>
      </c>
      <c r="H269" s="2" t="s">
        <v>2178</v>
      </c>
      <c r="I269" s="2" t="s">
        <v>2178</v>
      </c>
      <c r="J269" s="2" t="s">
        <v>2178</v>
      </c>
      <c r="K269" s="2" t="s">
        <v>2178</v>
      </c>
      <c r="L269" s="2" t="s">
        <v>2191</v>
      </c>
      <c r="M269" s="2" t="s">
        <v>2180</v>
      </c>
      <c r="N269" s="2" t="s">
        <v>109</v>
      </c>
      <c r="O269" s="2" t="s">
        <v>2181</v>
      </c>
    </row>
    <row r="270" spans="1:15" ht="28.5">
      <c r="A270" s="2" t="s">
        <v>1533</v>
      </c>
      <c r="B270" s="2" t="s">
        <v>1155</v>
      </c>
      <c r="C270" s="2" t="s">
        <v>564</v>
      </c>
      <c r="D270" s="2" t="s">
        <v>1535</v>
      </c>
      <c r="E270" s="2" t="s">
        <v>1538</v>
      </c>
      <c r="F270" s="2" t="s">
        <v>571</v>
      </c>
      <c r="G270" s="2">
        <v>0</v>
      </c>
      <c r="H270" s="2" t="s">
        <v>2178</v>
      </c>
      <c r="I270" s="2" t="s">
        <v>2178</v>
      </c>
      <c r="J270" s="2" t="s">
        <v>2178</v>
      </c>
      <c r="K270" s="2" t="s">
        <v>2178</v>
      </c>
      <c r="L270" s="2" t="s">
        <v>2183</v>
      </c>
      <c r="M270" s="2" t="s">
        <v>2180</v>
      </c>
      <c r="N270" s="2" t="s">
        <v>109</v>
      </c>
      <c r="O270" s="2" t="s">
        <v>2181</v>
      </c>
    </row>
    <row r="271" spans="1:15" ht="28.5">
      <c r="A271" s="2" t="s">
        <v>1540</v>
      </c>
      <c r="B271" s="2" t="s">
        <v>1155</v>
      </c>
      <c r="C271" s="2" t="s">
        <v>564</v>
      </c>
      <c r="D271" s="2" t="s">
        <v>1541</v>
      </c>
      <c r="E271" s="2" t="s">
        <v>1543</v>
      </c>
      <c r="F271" s="2" t="s">
        <v>571</v>
      </c>
      <c r="G271" s="2">
        <v>0</v>
      </c>
      <c r="H271" s="2" t="s">
        <v>2178</v>
      </c>
      <c r="I271" s="2" t="s">
        <v>2178</v>
      </c>
      <c r="J271" s="2" t="s">
        <v>2178</v>
      </c>
      <c r="K271" s="2" t="s">
        <v>2178</v>
      </c>
      <c r="L271" s="2" t="s">
        <v>2183</v>
      </c>
      <c r="M271" s="2" t="s">
        <v>2180</v>
      </c>
      <c r="N271" s="2" t="s">
        <v>109</v>
      </c>
      <c r="O271" s="2" t="s">
        <v>2181</v>
      </c>
    </row>
    <row r="272" spans="1:15" ht="28.5">
      <c r="A272" s="2" t="s">
        <v>1545</v>
      </c>
      <c r="B272" s="2" t="s">
        <v>1155</v>
      </c>
      <c r="C272" s="2" t="s">
        <v>564</v>
      </c>
      <c r="D272" s="2" t="s">
        <v>1546</v>
      </c>
      <c r="E272" s="2" t="s">
        <v>1548</v>
      </c>
      <c r="F272" s="2" t="s">
        <v>571</v>
      </c>
      <c r="G272" s="2">
        <v>0</v>
      </c>
      <c r="H272" s="2" t="s">
        <v>2178</v>
      </c>
      <c r="I272" s="2" t="s">
        <v>2178</v>
      </c>
      <c r="J272" s="2" t="s">
        <v>2178</v>
      </c>
      <c r="K272" s="2" t="s">
        <v>2178</v>
      </c>
      <c r="L272" s="2" t="s">
        <v>2183</v>
      </c>
      <c r="M272" s="2" t="s">
        <v>2180</v>
      </c>
      <c r="N272" s="2" t="s">
        <v>109</v>
      </c>
      <c r="O272" s="2" t="s">
        <v>2181</v>
      </c>
    </row>
    <row r="273" spans="1:15" ht="28.5">
      <c r="A273" s="2" t="s">
        <v>1550</v>
      </c>
      <c r="B273" s="2" t="s">
        <v>1155</v>
      </c>
      <c r="C273" s="2" t="s">
        <v>564</v>
      </c>
      <c r="D273" s="2" t="s">
        <v>1551</v>
      </c>
      <c r="E273" s="2" t="s">
        <v>1553</v>
      </c>
      <c r="F273" s="2" t="s">
        <v>571</v>
      </c>
      <c r="G273" s="2">
        <v>0</v>
      </c>
      <c r="H273" s="2" t="s">
        <v>2178</v>
      </c>
      <c r="I273" s="2" t="s">
        <v>2178</v>
      </c>
      <c r="J273" s="2" t="s">
        <v>2178</v>
      </c>
      <c r="K273" s="2" t="s">
        <v>2178</v>
      </c>
      <c r="L273" s="2" t="s">
        <v>2183</v>
      </c>
      <c r="M273" s="2" t="s">
        <v>2180</v>
      </c>
      <c r="N273" s="2" t="s">
        <v>109</v>
      </c>
      <c r="O273" s="2" t="s">
        <v>2181</v>
      </c>
    </row>
    <row r="274" spans="1:15" ht="28.5">
      <c r="A274" s="2" t="s">
        <v>1555</v>
      </c>
      <c r="B274" s="2" t="s">
        <v>1155</v>
      </c>
      <c r="C274" s="2" t="s">
        <v>564</v>
      </c>
      <c r="D274" s="2" t="s">
        <v>1556</v>
      </c>
      <c r="E274" s="2" t="s">
        <v>1558</v>
      </c>
      <c r="F274" s="2" t="s">
        <v>571</v>
      </c>
      <c r="G274" s="2">
        <v>0</v>
      </c>
      <c r="H274" s="2" t="s">
        <v>2178</v>
      </c>
      <c r="I274" s="2" t="s">
        <v>2178</v>
      </c>
      <c r="J274" s="2" t="s">
        <v>2178</v>
      </c>
      <c r="K274" s="2" t="s">
        <v>2178</v>
      </c>
      <c r="L274" s="2" t="s">
        <v>2183</v>
      </c>
      <c r="M274" s="2" t="s">
        <v>2180</v>
      </c>
      <c r="N274" s="2" t="s">
        <v>109</v>
      </c>
      <c r="O274" s="2" t="s">
        <v>2181</v>
      </c>
    </row>
    <row r="275" spans="1:15" ht="28.5">
      <c r="A275" s="2" t="s">
        <v>1560</v>
      </c>
      <c r="B275" s="2" t="s">
        <v>1155</v>
      </c>
      <c r="C275" s="2" t="s">
        <v>564</v>
      </c>
      <c r="D275" s="2" t="s">
        <v>1561</v>
      </c>
      <c r="E275" s="2" t="s">
        <v>1563</v>
      </c>
      <c r="F275" s="2" t="s">
        <v>571</v>
      </c>
      <c r="G275" s="2">
        <v>0</v>
      </c>
      <c r="H275" s="2" t="s">
        <v>2178</v>
      </c>
      <c r="I275" s="2" t="s">
        <v>2178</v>
      </c>
      <c r="J275" s="2" t="s">
        <v>2178</v>
      </c>
      <c r="K275" s="2" t="s">
        <v>2178</v>
      </c>
      <c r="L275" s="2" t="s">
        <v>2183</v>
      </c>
      <c r="M275" s="2" t="s">
        <v>2180</v>
      </c>
      <c r="N275" s="2" t="s">
        <v>109</v>
      </c>
      <c r="O275" s="2" t="s">
        <v>2181</v>
      </c>
    </row>
    <row r="276" spans="1:15" ht="28.5">
      <c r="A276" s="2" t="s">
        <v>1565</v>
      </c>
      <c r="B276" s="2" t="s">
        <v>1155</v>
      </c>
      <c r="C276" s="2" t="s">
        <v>564</v>
      </c>
      <c r="D276" s="2" t="s">
        <v>1566</v>
      </c>
      <c r="E276" s="2" t="s">
        <v>1568</v>
      </c>
      <c r="F276" s="2" t="s">
        <v>571</v>
      </c>
      <c r="G276" s="2">
        <v>0</v>
      </c>
      <c r="H276" s="2" t="s">
        <v>2178</v>
      </c>
      <c r="I276" s="2" t="s">
        <v>2178</v>
      </c>
      <c r="J276" s="2" t="s">
        <v>2178</v>
      </c>
      <c r="K276" s="2" t="s">
        <v>2178</v>
      </c>
      <c r="L276" s="2" t="s">
        <v>2183</v>
      </c>
      <c r="M276" s="2" t="s">
        <v>2180</v>
      </c>
      <c r="N276" s="2" t="s">
        <v>109</v>
      </c>
      <c r="O276" s="2" t="s">
        <v>2181</v>
      </c>
    </row>
    <row r="277" spans="1:15" ht="28.5">
      <c r="A277" s="2" t="s">
        <v>1570</v>
      </c>
      <c r="B277" s="2" t="s">
        <v>1155</v>
      </c>
      <c r="C277" s="2" t="s">
        <v>564</v>
      </c>
      <c r="D277" s="2" t="s">
        <v>1571</v>
      </c>
      <c r="E277" s="2" t="s">
        <v>1573</v>
      </c>
      <c r="F277" s="2" t="s">
        <v>571</v>
      </c>
      <c r="G277" s="2">
        <v>0</v>
      </c>
      <c r="H277" s="2" t="s">
        <v>2178</v>
      </c>
      <c r="I277" s="2" t="s">
        <v>2178</v>
      </c>
      <c r="J277" s="2" t="s">
        <v>2178</v>
      </c>
      <c r="K277" s="2" t="s">
        <v>2178</v>
      </c>
      <c r="L277" s="2" t="s">
        <v>2183</v>
      </c>
      <c r="M277" s="2" t="s">
        <v>2180</v>
      </c>
      <c r="N277" s="2" t="s">
        <v>109</v>
      </c>
      <c r="O277" s="2" t="s">
        <v>2181</v>
      </c>
    </row>
    <row r="278" spans="1:15" ht="28.5">
      <c r="A278" s="2" t="s">
        <v>1575</v>
      </c>
      <c r="B278" s="2" t="s">
        <v>1155</v>
      </c>
      <c r="C278" s="2" t="s">
        <v>564</v>
      </c>
      <c r="D278" s="2" t="s">
        <v>1576</v>
      </c>
      <c r="E278" s="2" t="s">
        <v>1578</v>
      </c>
      <c r="F278" s="2" t="s">
        <v>571</v>
      </c>
      <c r="G278" s="2">
        <v>0</v>
      </c>
      <c r="H278" s="2" t="s">
        <v>2178</v>
      </c>
      <c r="I278" s="2" t="s">
        <v>2178</v>
      </c>
      <c r="J278" s="2" t="s">
        <v>2178</v>
      </c>
      <c r="K278" s="2" t="s">
        <v>2178</v>
      </c>
      <c r="L278" s="2" t="s">
        <v>2183</v>
      </c>
      <c r="M278" s="2" t="s">
        <v>2180</v>
      </c>
      <c r="N278" s="2" t="s">
        <v>109</v>
      </c>
      <c r="O278" s="2" t="s">
        <v>2181</v>
      </c>
    </row>
    <row r="279" spans="1:15" ht="28.5">
      <c r="A279" s="2" t="s">
        <v>1580</v>
      </c>
      <c r="B279" s="2" t="s">
        <v>1155</v>
      </c>
      <c r="C279" s="2" t="s">
        <v>564</v>
      </c>
      <c r="D279" s="2" t="s">
        <v>1581</v>
      </c>
      <c r="E279" s="2" t="s">
        <v>1583</v>
      </c>
      <c r="F279" s="2" t="s">
        <v>571</v>
      </c>
      <c r="G279" s="2">
        <v>0</v>
      </c>
      <c r="H279" s="2" t="s">
        <v>2178</v>
      </c>
      <c r="I279" s="2" t="s">
        <v>2178</v>
      </c>
      <c r="J279" s="2" t="s">
        <v>2178</v>
      </c>
      <c r="K279" s="2" t="s">
        <v>2178</v>
      </c>
      <c r="L279" s="2" t="s">
        <v>2183</v>
      </c>
      <c r="M279" s="2" t="s">
        <v>2180</v>
      </c>
      <c r="N279" s="2" t="s">
        <v>109</v>
      </c>
      <c r="O279" s="2" t="s">
        <v>2181</v>
      </c>
    </row>
    <row r="280" spans="1:15" ht="28.5">
      <c r="A280" s="2" t="s">
        <v>1585</v>
      </c>
      <c r="B280" s="2" t="s">
        <v>1155</v>
      </c>
      <c r="C280" s="2" t="s">
        <v>564</v>
      </c>
      <c r="D280" s="2" t="s">
        <v>1586</v>
      </c>
      <c r="E280" s="2" t="s">
        <v>1588</v>
      </c>
      <c r="F280" s="2" t="s">
        <v>571</v>
      </c>
      <c r="G280" s="2">
        <v>0</v>
      </c>
      <c r="H280" s="2" t="s">
        <v>2178</v>
      </c>
      <c r="I280" s="2" t="s">
        <v>2178</v>
      </c>
      <c r="J280" s="2" t="s">
        <v>2178</v>
      </c>
      <c r="K280" s="2" t="s">
        <v>2178</v>
      </c>
      <c r="L280" s="2" t="s">
        <v>2183</v>
      </c>
      <c r="M280" s="2" t="s">
        <v>2180</v>
      </c>
      <c r="N280" s="2" t="s">
        <v>109</v>
      </c>
      <c r="O280" s="2" t="s">
        <v>2181</v>
      </c>
    </row>
    <row r="281" spans="1:15" ht="28.5">
      <c r="A281" s="2" t="s">
        <v>1590</v>
      </c>
      <c r="B281" s="2" t="s">
        <v>1155</v>
      </c>
      <c r="C281" s="2" t="s">
        <v>564</v>
      </c>
      <c r="D281" s="2" t="s">
        <v>1591</v>
      </c>
      <c r="E281" s="2" t="s">
        <v>1593</v>
      </c>
      <c r="F281" s="2" t="s">
        <v>571</v>
      </c>
      <c r="G281" s="2">
        <v>0</v>
      </c>
      <c r="H281" s="2" t="s">
        <v>2178</v>
      </c>
      <c r="I281" s="2" t="s">
        <v>2178</v>
      </c>
      <c r="J281" s="2" t="s">
        <v>2178</v>
      </c>
      <c r="K281" s="2" t="s">
        <v>2178</v>
      </c>
      <c r="L281" s="2" t="s">
        <v>2183</v>
      </c>
      <c r="M281" s="2" t="s">
        <v>2180</v>
      </c>
      <c r="N281" s="2" t="s">
        <v>109</v>
      </c>
      <c r="O281" s="2" t="s">
        <v>2181</v>
      </c>
    </row>
    <row r="282" spans="1:15" ht="28.5">
      <c r="A282" s="2" t="s">
        <v>1595</v>
      </c>
      <c r="B282" s="2" t="s">
        <v>1155</v>
      </c>
      <c r="C282" s="2" t="s">
        <v>564</v>
      </c>
      <c r="D282" s="2" t="s">
        <v>1596</v>
      </c>
      <c r="E282" s="2" t="s">
        <v>1598</v>
      </c>
      <c r="F282" s="2" t="s">
        <v>571</v>
      </c>
      <c r="G282" s="2">
        <v>0</v>
      </c>
      <c r="H282" s="2" t="s">
        <v>2178</v>
      </c>
      <c r="I282" s="2" t="s">
        <v>2178</v>
      </c>
      <c r="J282" s="2" t="s">
        <v>2178</v>
      </c>
      <c r="K282" s="2" t="s">
        <v>2178</v>
      </c>
      <c r="L282" s="2" t="s">
        <v>2183</v>
      </c>
      <c r="M282" s="2" t="s">
        <v>2180</v>
      </c>
      <c r="N282" s="2" t="s">
        <v>109</v>
      </c>
      <c r="O282" s="2" t="s">
        <v>2181</v>
      </c>
    </row>
    <row r="283" spans="1:15" ht="28.5">
      <c r="A283" s="2" t="s">
        <v>1600</v>
      </c>
      <c r="B283" s="2" t="s">
        <v>1155</v>
      </c>
      <c r="C283" s="2" t="s">
        <v>564</v>
      </c>
      <c r="D283" s="2" t="s">
        <v>1601</v>
      </c>
      <c r="E283" s="2" t="s">
        <v>1603</v>
      </c>
      <c r="F283" s="2" t="s">
        <v>571</v>
      </c>
      <c r="G283" s="2">
        <v>0</v>
      </c>
      <c r="H283" s="2" t="s">
        <v>2178</v>
      </c>
      <c r="I283" s="2" t="s">
        <v>2178</v>
      </c>
      <c r="J283" s="2" t="s">
        <v>2178</v>
      </c>
      <c r="K283" s="2" t="s">
        <v>2178</v>
      </c>
      <c r="L283" s="2" t="s">
        <v>2183</v>
      </c>
      <c r="M283" s="2" t="s">
        <v>2180</v>
      </c>
      <c r="N283" s="2" t="s">
        <v>109</v>
      </c>
      <c r="O283" s="2" t="s">
        <v>2181</v>
      </c>
    </row>
    <row r="284" spans="1:15" ht="28.5">
      <c r="A284" s="2" t="s">
        <v>1605</v>
      </c>
      <c r="B284" s="2" t="s">
        <v>1155</v>
      </c>
      <c r="C284" s="2" t="s">
        <v>564</v>
      </c>
      <c r="D284" s="2" t="s">
        <v>1606</v>
      </c>
      <c r="E284" s="2" t="s">
        <v>1608</v>
      </c>
      <c r="F284" s="2" t="s">
        <v>571</v>
      </c>
      <c r="G284" s="2">
        <v>0</v>
      </c>
      <c r="H284" s="2" t="s">
        <v>2178</v>
      </c>
      <c r="I284" s="2" t="s">
        <v>2178</v>
      </c>
      <c r="J284" s="2" t="s">
        <v>2178</v>
      </c>
      <c r="K284" s="2" t="s">
        <v>2178</v>
      </c>
      <c r="L284" s="2" t="s">
        <v>2183</v>
      </c>
      <c r="M284" s="2" t="s">
        <v>2180</v>
      </c>
      <c r="N284" s="2" t="s">
        <v>109</v>
      </c>
      <c r="O284" s="2" t="s">
        <v>2181</v>
      </c>
    </row>
    <row r="285" spans="1:15" ht="28.5">
      <c r="A285" s="2" t="s">
        <v>1610</v>
      </c>
      <c r="B285" s="2" t="s">
        <v>1155</v>
      </c>
      <c r="C285" s="2" t="s">
        <v>564</v>
      </c>
      <c r="D285" s="2" t="s">
        <v>1611</v>
      </c>
      <c r="E285" s="2" t="s">
        <v>1614</v>
      </c>
      <c r="F285" s="2" t="s">
        <v>571</v>
      </c>
      <c r="G285" s="2">
        <v>0</v>
      </c>
      <c r="H285" s="2" t="s">
        <v>2178</v>
      </c>
      <c r="I285" s="2" t="s">
        <v>2178</v>
      </c>
      <c r="J285" s="2" t="s">
        <v>2178</v>
      </c>
      <c r="K285" s="2" t="s">
        <v>2178</v>
      </c>
      <c r="L285" s="2" t="s">
        <v>2183</v>
      </c>
      <c r="M285" s="2" t="s">
        <v>2180</v>
      </c>
      <c r="N285" s="2" t="s">
        <v>109</v>
      </c>
      <c r="O285" s="2" t="s">
        <v>2181</v>
      </c>
    </row>
    <row r="286" spans="1:15" ht="28.5">
      <c r="A286" s="2" t="s">
        <v>1616</v>
      </c>
      <c r="B286" s="2" t="s">
        <v>1155</v>
      </c>
      <c r="C286" s="2" t="s">
        <v>564</v>
      </c>
      <c r="D286" s="2" t="s">
        <v>1617</v>
      </c>
      <c r="E286" s="2" t="s">
        <v>1619</v>
      </c>
      <c r="F286" s="2" t="s">
        <v>571</v>
      </c>
      <c r="G286" s="2">
        <v>0</v>
      </c>
      <c r="H286" s="2" t="s">
        <v>2178</v>
      </c>
      <c r="I286" s="2" t="s">
        <v>2178</v>
      </c>
      <c r="J286" s="2" t="s">
        <v>2178</v>
      </c>
      <c r="K286" s="2" t="s">
        <v>2178</v>
      </c>
      <c r="L286" s="2" t="s">
        <v>2183</v>
      </c>
      <c r="M286" s="2" t="s">
        <v>2180</v>
      </c>
      <c r="N286" s="2" t="s">
        <v>109</v>
      </c>
      <c r="O286" s="2" t="s">
        <v>2181</v>
      </c>
    </row>
    <row r="287" spans="1:15" ht="28.5">
      <c r="A287" s="2" t="s">
        <v>1621</v>
      </c>
      <c r="B287" s="2" t="s">
        <v>1155</v>
      </c>
      <c r="C287" s="2" t="s">
        <v>564</v>
      </c>
      <c r="D287" s="2" t="s">
        <v>1622</v>
      </c>
      <c r="E287" s="2" t="s">
        <v>1624</v>
      </c>
      <c r="F287" s="2" t="s">
        <v>571</v>
      </c>
      <c r="G287" s="2">
        <v>0</v>
      </c>
      <c r="H287" s="2" t="s">
        <v>2178</v>
      </c>
      <c r="I287" s="2" t="s">
        <v>2178</v>
      </c>
      <c r="J287" s="2" t="s">
        <v>2178</v>
      </c>
      <c r="K287" s="2" t="s">
        <v>2178</v>
      </c>
      <c r="L287" s="2" t="s">
        <v>2183</v>
      </c>
      <c r="M287" s="2" t="s">
        <v>2180</v>
      </c>
      <c r="N287" s="2" t="s">
        <v>109</v>
      </c>
      <c r="O287" s="2" t="s">
        <v>2181</v>
      </c>
    </row>
    <row r="288" spans="1:15" ht="28.5">
      <c r="A288" s="2" t="s">
        <v>1626</v>
      </c>
      <c r="B288" s="2" t="s">
        <v>1155</v>
      </c>
      <c r="C288" s="2" t="s">
        <v>564</v>
      </c>
      <c r="D288" s="2" t="s">
        <v>1627</v>
      </c>
      <c r="E288" s="2" t="s">
        <v>1629</v>
      </c>
      <c r="F288" s="2" t="s">
        <v>571</v>
      </c>
      <c r="G288" s="2">
        <v>0</v>
      </c>
      <c r="H288" s="2" t="s">
        <v>2178</v>
      </c>
      <c r="I288" s="2" t="s">
        <v>2178</v>
      </c>
      <c r="J288" s="2" t="s">
        <v>2178</v>
      </c>
      <c r="K288" s="2" t="s">
        <v>2178</v>
      </c>
      <c r="L288" s="2" t="s">
        <v>2183</v>
      </c>
      <c r="M288" s="2" t="s">
        <v>2180</v>
      </c>
      <c r="N288" s="2" t="s">
        <v>109</v>
      </c>
      <c r="O288" s="2" t="s">
        <v>2181</v>
      </c>
    </row>
    <row r="289" spans="1:15" ht="28.5">
      <c r="A289" s="2" t="s">
        <v>1631</v>
      </c>
      <c r="B289" s="2" t="s">
        <v>1155</v>
      </c>
      <c r="C289" s="2" t="s">
        <v>564</v>
      </c>
      <c r="D289" s="2" t="s">
        <v>1632</v>
      </c>
      <c r="E289" s="2" t="s">
        <v>1634</v>
      </c>
      <c r="F289" s="2" t="s">
        <v>571</v>
      </c>
      <c r="G289" s="2">
        <v>0</v>
      </c>
      <c r="H289" s="2" t="s">
        <v>2178</v>
      </c>
      <c r="I289" s="2" t="s">
        <v>2178</v>
      </c>
      <c r="J289" s="2" t="s">
        <v>2178</v>
      </c>
      <c r="K289" s="2" t="s">
        <v>2178</v>
      </c>
      <c r="L289" s="2" t="s">
        <v>2183</v>
      </c>
      <c r="M289" s="2" t="s">
        <v>2180</v>
      </c>
      <c r="N289" s="2" t="s">
        <v>109</v>
      </c>
      <c r="O289" s="2" t="s">
        <v>2181</v>
      </c>
    </row>
    <row r="290" spans="1:15" ht="28.5">
      <c r="A290" s="2" t="s">
        <v>1636</v>
      </c>
      <c r="B290" s="2" t="s">
        <v>1155</v>
      </c>
      <c r="C290" s="2" t="s">
        <v>564</v>
      </c>
      <c r="D290" s="2" t="s">
        <v>1637</v>
      </c>
      <c r="E290" s="2" t="s">
        <v>1639</v>
      </c>
      <c r="F290" s="2" t="s">
        <v>571</v>
      </c>
      <c r="G290" s="2">
        <v>0</v>
      </c>
      <c r="H290" s="2" t="s">
        <v>2178</v>
      </c>
      <c r="I290" s="2" t="s">
        <v>2178</v>
      </c>
      <c r="J290" s="2" t="s">
        <v>2178</v>
      </c>
      <c r="K290" s="2" t="s">
        <v>2178</v>
      </c>
      <c r="L290" s="2" t="s">
        <v>2183</v>
      </c>
      <c r="M290" s="2" t="s">
        <v>2180</v>
      </c>
      <c r="N290" s="2" t="s">
        <v>109</v>
      </c>
      <c r="O290" s="2" t="s">
        <v>2181</v>
      </c>
    </row>
    <row r="291" spans="1:15" ht="28.5">
      <c r="A291" s="2" t="s">
        <v>1641</v>
      </c>
      <c r="B291" s="2" t="s">
        <v>1155</v>
      </c>
      <c r="C291" s="2" t="s">
        <v>564</v>
      </c>
      <c r="D291" s="2" t="s">
        <v>1642</v>
      </c>
      <c r="E291" s="2" t="s">
        <v>1644</v>
      </c>
      <c r="F291" s="2" t="s">
        <v>571</v>
      </c>
      <c r="G291" s="2">
        <v>0</v>
      </c>
      <c r="H291" s="2" t="s">
        <v>2178</v>
      </c>
      <c r="I291" s="2" t="s">
        <v>2178</v>
      </c>
      <c r="J291" s="2" t="s">
        <v>2178</v>
      </c>
      <c r="K291" s="2" t="s">
        <v>2178</v>
      </c>
      <c r="L291" s="2" t="s">
        <v>2183</v>
      </c>
      <c r="M291" s="2" t="s">
        <v>2180</v>
      </c>
      <c r="N291" s="2" t="s">
        <v>109</v>
      </c>
      <c r="O291" s="2" t="s">
        <v>2181</v>
      </c>
    </row>
    <row r="292" spans="1:15" ht="28.5">
      <c r="A292" s="2" t="s">
        <v>1646</v>
      </c>
      <c r="B292" s="2" t="s">
        <v>1155</v>
      </c>
      <c r="C292" s="2" t="s">
        <v>564</v>
      </c>
      <c r="D292" s="2" t="s">
        <v>1647</v>
      </c>
      <c r="E292" s="2" t="s">
        <v>1649</v>
      </c>
      <c r="F292" s="2" t="s">
        <v>571</v>
      </c>
      <c r="G292" s="2">
        <v>0</v>
      </c>
      <c r="H292" s="2" t="s">
        <v>2178</v>
      </c>
      <c r="I292" s="2" t="s">
        <v>2178</v>
      </c>
      <c r="J292" s="2" t="s">
        <v>2178</v>
      </c>
      <c r="K292" s="2" t="s">
        <v>2178</v>
      </c>
      <c r="L292" s="2" t="s">
        <v>2183</v>
      </c>
      <c r="M292" s="2" t="s">
        <v>2180</v>
      </c>
      <c r="N292" s="2" t="s">
        <v>109</v>
      </c>
      <c r="O292" s="2" t="s">
        <v>2181</v>
      </c>
    </row>
    <row r="293" spans="1:15" ht="28.5">
      <c r="A293" s="2" t="s">
        <v>1651</v>
      </c>
      <c r="B293" s="2" t="s">
        <v>1155</v>
      </c>
      <c r="C293" s="2" t="s">
        <v>564</v>
      </c>
      <c r="D293" s="2" t="s">
        <v>1652</v>
      </c>
      <c r="E293" s="2" t="s">
        <v>1654</v>
      </c>
      <c r="F293" s="2" t="s">
        <v>571</v>
      </c>
      <c r="G293" s="2">
        <v>0</v>
      </c>
      <c r="H293" s="2" t="s">
        <v>2178</v>
      </c>
      <c r="I293" s="2" t="s">
        <v>2178</v>
      </c>
      <c r="J293" s="2" t="s">
        <v>2178</v>
      </c>
      <c r="K293" s="2" t="s">
        <v>2178</v>
      </c>
      <c r="L293" s="2" t="s">
        <v>2183</v>
      </c>
      <c r="M293" s="2" t="s">
        <v>2180</v>
      </c>
      <c r="N293" s="2" t="s">
        <v>109</v>
      </c>
      <c r="O293" s="2" t="s">
        <v>2181</v>
      </c>
    </row>
    <row r="294" spans="1:15" ht="28.5">
      <c r="A294" s="2" t="s">
        <v>1656</v>
      </c>
      <c r="B294" s="2" t="s">
        <v>1155</v>
      </c>
      <c r="C294" s="2" t="s">
        <v>564</v>
      </c>
      <c r="D294" s="2" t="s">
        <v>1657</v>
      </c>
      <c r="E294" s="2" t="s">
        <v>1659</v>
      </c>
      <c r="F294" s="2" t="s">
        <v>571</v>
      </c>
      <c r="G294" s="2">
        <v>0</v>
      </c>
      <c r="H294" s="2" t="s">
        <v>2178</v>
      </c>
      <c r="I294" s="2" t="s">
        <v>2178</v>
      </c>
      <c r="J294" s="2" t="s">
        <v>2178</v>
      </c>
      <c r="K294" s="2" t="s">
        <v>2178</v>
      </c>
      <c r="L294" s="2" t="s">
        <v>2183</v>
      </c>
      <c r="M294" s="2" t="s">
        <v>2180</v>
      </c>
      <c r="N294" s="2" t="s">
        <v>109</v>
      </c>
      <c r="O294" s="2" t="s">
        <v>2181</v>
      </c>
    </row>
    <row r="295" spans="1:15" ht="28.5">
      <c r="A295" s="2" t="s">
        <v>1661</v>
      </c>
      <c r="B295" s="2" t="s">
        <v>1155</v>
      </c>
      <c r="C295" s="2" t="s">
        <v>564</v>
      </c>
      <c r="D295" s="2" t="s">
        <v>1662</v>
      </c>
      <c r="E295" s="2" t="s">
        <v>1664</v>
      </c>
      <c r="F295" s="2" t="s">
        <v>571</v>
      </c>
      <c r="G295" s="2">
        <v>0</v>
      </c>
      <c r="H295" s="2" t="s">
        <v>2178</v>
      </c>
      <c r="I295" s="2" t="s">
        <v>2178</v>
      </c>
      <c r="J295" s="2" t="s">
        <v>2178</v>
      </c>
      <c r="K295" s="2" t="s">
        <v>2178</v>
      </c>
      <c r="L295" s="2" t="s">
        <v>2183</v>
      </c>
      <c r="M295" s="2" t="s">
        <v>2180</v>
      </c>
      <c r="N295" s="2" t="s">
        <v>109</v>
      </c>
      <c r="O295" s="2" t="s">
        <v>2181</v>
      </c>
    </row>
    <row r="296" spans="1:15" ht="28.5">
      <c r="A296" s="2" t="s">
        <v>1666</v>
      </c>
      <c r="B296" s="2" t="s">
        <v>1155</v>
      </c>
      <c r="C296" s="2" t="s">
        <v>564</v>
      </c>
      <c r="D296" s="2" t="s">
        <v>1667</v>
      </c>
      <c r="E296" s="2" t="s">
        <v>1669</v>
      </c>
      <c r="F296" s="2" t="s">
        <v>571</v>
      </c>
      <c r="G296" s="2">
        <v>0</v>
      </c>
      <c r="H296" s="2" t="s">
        <v>2178</v>
      </c>
      <c r="I296" s="2" t="s">
        <v>2178</v>
      </c>
      <c r="J296" s="2" t="s">
        <v>2178</v>
      </c>
      <c r="K296" s="2" t="s">
        <v>2178</v>
      </c>
      <c r="L296" s="2" t="s">
        <v>2183</v>
      </c>
      <c r="M296" s="2" t="s">
        <v>2180</v>
      </c>
      <c r="N296" s="2" t="s">
        <v>109</v>
      </c>
      <c r="O296" s="2" t="s">
        <v>2181</v>
      </c>
    </row>
    <row r="297" spans="1:15" ht="28.5">
      <c r="A297" s="2" t="s">
        <v>1671</v>
      </c>
      <c r="B297" s="2" t="s">
        <v>1155</v>
      </c>
      <c r="C297" s="2" t="s">
        <v>564</v>
      </c>
      <c r="D297" s="2" t="s">
        <v>1672</v>
      </c>
      <c r="E297" s="2" t="s">
        <v>1674</v>
      </c>
      <c r="F297" s="2" t="s">
        <v>571</v>
      </c>
      <c r="G297" s="2">
        <v>0</v>
      </c>
      <c r="H297" s="2" t="s">
        <v>2178</v>
      </c>
      <c r="I297" s="2" t="s">
        <v>2178</v>
      </c>
      <c r="J297" s="2" t="s">
        <v>2178</v>
      </c>
      <c r="K297" s="2" t="s">
        <v>2178</v>
      </c>
      <c r="L297" s="2" t="s">
        <v>2183</v>
      </c>
      <c r="M297" s="2" t="s">
        <v>2180</v>
      </c>
      <c r="N297" s="2" t="s">
        <v>109</v>
      </c>
      <c r="O297" s="2" t="s">
        <v>2181</v>
      </c>
    </row>
    <row r="298" spans="1:15" ht="28.5">
      <c r="A298" s="2" t="s">
        <v>1676</v>
      </c>
      <c r="B298" s="2" t="s">
        <v>1155</v>
      </c>
      <c r="C298" s="2" t="s">
        <v>564</v>
      </c>
      <c r="D298" s="2" t="s">
        <v>1677</v>
      </c>
      <c r="E298" s="2" t="s">
        <v>1679</v>
      </c>
      <c r="F298" s="2" t="s">
        <v>571</v>
      </c>
      <c r="G298" s="2">
        <v>0</v>
      </c>
      <c r="H298" s="2" t="s">
        <v>2178</v>
      </c>
      <c r="I298" s="2" t="s">
        <v>2178</v>
      </c>
      <c r="J298" s="2" t="s">
        <v>2178</v>
      </c>
      <c r="K298" s="2" t="s">
        <v>2178</v>
      </c>
      <c r="L298" s="2" t="s">
        <v>2183</v>
      </c>
      <c r="M298" s="2" t="s">
        <v>2180</v>
      </c>
      <c r="N298" s="2" t="s">
        <v>109</v>
      </c>
      <c r="O298" s="2" t="s">
        <v>2181</v>
      </c>
    </row>
    <row r="299" spans="1:15" ht="28.5">
      <c r="A299" s="2" t="s">
        <v>1681</v>
      </c>
      <c r="B299" s="2" t="s">
        <v>1155</v>
      </c>
      <c r="C299" s="2" t="s">
        <v>564</v>
      </c>
      <c r="D299" s="2" t="s">
        <v>1682</v>
      </c>
      <c r="E299" s="2" t="s">
        <v>1685</v>
      </c>
      <c r="F299" s="2" t="s">
        <v>571</v>
      </c>
      <c r="G299" s="2">
        <v>0</v>
      </c>
      <c r="H299" s="2" t="s">
        <v>2178</v>
      </c>
      <c r="I299" s="2" t="s">
        <v>2178</v>
      </c>
      <c r="J299" s="2" t="s">
        <v>2178</v>
      </c>
      <c r="K299" s="2" t="s">
        <v>2178</v>
      </c>
      <c r="L299" s="2" t="s">
        <v>2183</v>
      </c>
      <c r="M299" s="2" t="s">
        <v>2180</v>
      </c>
      <c r="N299" s="2" t="s">
        <v>109</v>
      </c>
      <c r="O299" s="2" t="s">
        <v>2181</v>
      </c>
    </row>
    <row r="300" spans="1:15" ht="28.5">
      <c r="A300" s="2" t="s">
        <v>1687</v>
      </c>
      <c r="B300" s="2" t="s">
        <v>1155</v>
      </c>
      <c r="C300" s="2" t="s">
        <v>564</v>
      </c>
      <c r="D300" s="2" t="s">
        <v>1688</v>
      </c>
      <c r="E300" s="2" t="s">
        <v>1690</v>
      </c>
      <c r="F300" s="2" t="s">
        <v>571</v>
      </c>
      <c r="G300" s="2">
        <v>0</v>
      </c>
      <c r="H300" s="2" t="s">
        <v>2178</v>
      </c>
      <c r="I300" s="2" t="s">
        <v>2178</v>
      </c>
      <c r="J300" s="2" t="s">
        <v>2178</v>
      </c>
      <c r="K300" s="2" t="s">
        <v>2178</v>
      </c>
      <c r="L300" s="2" t="s">
        <v>2183</v>
      </c>
      <c r="M300" s="2" t="s">
        <v>2180</v>
      </c>
      <c r="N300" s="2" t="s">
        <v>109</v>
      </c>
      <c r="O300" s="2" t="s">
        <v>2181</v>
      </c>
    </row>
    <row r="301" spans="1:15" ht="28.5">
      <c r="A301" s="2" t="s">
        <v>1692</v>
      </c>
      <c r="B301" s="2" t="s">
        <v>1155</v>
      </c>
      <c r="C301" s="2" t="s">
        <v>564</v>
      </c>
      <c r="D301" s="2" t="s">
        <v>1693</v>
      </c>
      <c r="E301" s="2" t="s">
        <v>1695</v>
      </c>
      <c r="F301" s="2" t="s">
        <v>571</v>
      </c>
      <c r="G301" s="2">
        <v>0</v>
      </c>
      <c r="H301" s="2" t="s">
        <v>2178</v>
      </c>
      <c r="I301" s="2" t="s">
        <v>2178</v>
      </c>
      <c r="J301" s="2" t="s">
        <v>2178</v>
      </c>
      <c r="K301" s="2" t="s">
        <v>2178</v>
      </c>
      <c r="L301" s="2" t="s">
        <v>2183</v>
      </c>
      <c r="M301" s="2" t="s">
        <v>2180</v>
      </c>
      <c r="N301" s="2" t="s">
        <v>109</v>
      </c>
      <c r="O301" s="2" t="s">
        <v>2181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0"/>
  <sheetViews>
    <sheetView workbookViewId="0">
      <selection sqref="A1:F1"/>
    </sheetView>
  </sheetViews>
  <sheetFormatPr defaultRowHeight="14.25"/>
  <cols>
    <col min="1" max="1" width="28" customWidth="1"/>
    <col min="2" max="2" width="18" customWidth="1"/>
    <col min="3" max="3" width="16" customWidth="1"/>
    <col min="4" max="4" width="46" customWidth="1"/>
    <col min="5" max="5" width="38" customWidth="1"/>
    <col min="6" max="6" width="20" customWidth="1"/>
  </cols>
  <sheetData>
    <row r="1" spans="1:6" ht="18">
      <c r="A1" s="19" t="s">
        <v>2192</v>
      </c>
      <c r="B1" s="19"/>
      <c r="C1" s="19"/>
      <c r="D1" s="19"/>
      <c r="E1" s="19"/>
      <c r="F1" s="19"/>
    </row>
    <row r="2" spans="1:6">
      <c r="A2" s="2" t="s">
        <v>2193</v>
      </c>
      <c r="B2" s="2" t="s">
        <v>51</v>
      </c>
      <c r="C2" s="2" t="s">
        <v>2194</v>
      </c>
      <c r="D2" s="2" t="s">
        <v>2195</v>
      </c>
      <c r="E2" s="2"/>
      <c r="F2" s="2"/>
    </row>
    <row r="3" spans="1:6" ht="42.75">
      <c r="A3" s="2" t="s">
        <v>2196</v>
      </c>
      <c r="B3" s="2" t="s">
        <v>2197</v>
      </c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 ht="15">
      <c r="A5" s="16" t="s">
        <v>2198</v>
      </c>
      <c r="B5" s="16" t="s">
        <v>2199</v>
      </c>
      <c r="C5" s="16" t="s">
        <v>2194</v>
      </c>
      <c r="D5" s="16" t="s">
        <v>2200</v>
      </c>
      <c r="E5" s="16" t="s">
        <v>2201</v>
      </c>
      <c r="F5" s="16" t="s">
        <v>2202</v>
      </c>
    </row>
    <row r="6" spans="1:6">
      <c r="A6" s="2" t="s">
        <v>2203</v>
      </c>
      <c r="B6" s="2">
        <v>300</v>
      </c>
      <c r="C6" s="2" t="s">
        <v>2184</v>
      </c>
      <c r="D6" s="2" t="s">
        <v>2204</v>
      </c>
      <c r="E6" s="2" t="s">
        <v>2205</v>
      </c>
      <c r="F6" s="2">
        <v>300</v>
      </c>
    </row>
    <row r="7" spans="1:6">
      <c r="A7" s="2" t="s">
        <v>2206</v>
      </c>
      <c r="B7" s="2">
        <v>300</v>
      </c>
      <c r="C7" s="2" t="s">
        <v>2184</v>
      </c>
      <c r="D7" s="2" t="s">
        <v>2207</v>
      </c>
      <c r="E7" s="2" t="s">
        <v>2208</v>
      </c>
      <c r="F7" s="2">
        <v>300</v>
      </c>
    </row>
    <row r="8" spans="1:6">
      <c r="A8" s="2" t="s">
        <v>2209</v>
      </c>
      <c r="B8" s="2" t="s">
        <v>2210</v>
      </c>
      <c r="C8" s="2" t="s">
        <v>2184</v>
      </c>
      <c r="D8" s="2" t="s">
        <v>2211</v>
      </c>
      <c r="E8" s="2" t="s">
        <v>2208</v>
      </c>
      <c r="F8" s="2" t="s">
        <v>2210</v>
      </c>
    </row>
    <row r="9" spans="1:6">
      <c r="A9" s="2" t="s">
        <v>2212</v>
      </c>
      <c r="B9" s="2">
        <v>300</v>
      </c>
      <c r="C9" s="2" t="s">
        <v>2184</v>
      </c>
      <c r="D9" s="2" t="s">
        <v>2213</v>
      </c>
      <c r="E9" s="2" t="s">
        <v>2214</v>
      </c>
      <c r="F9" s="2">
        <v>0</v>
      </c>
    </row>
    <row r="10" spans="1:6">
      <c r="A10" s="2" t="s">
        <v>2215</v>
      </c>
      <c r="B10" s="2">
        <v>270</v>
      </c>
      <c r="C10" s="2" t="s">
        <v>2184</v>
      </c>
      <c r="D10" s="2" t="s">
        <v>2216</v>
      </c>
      <c r="E10" s="2" t="s">
        <v>2217</v>
      </c>
      <c r="F10" s="2" t="s">
        <v>2218</v>
      </c>
    </row>
    <row r="11" spans="1:6">
      <c r="A11" s="2" t="s">
        <v>2219</v>
      </c>
      <c r="B11" s="2">
        <v>300</v>
      </c>
      <c r="C11" s="2" t="s">
        <v>2184</v>
      </c>
      <c r="D11" s="2" t="s">
        <v>2220</v>
      </c>
      <c r="E11" s="2" t="s">
        <v>2221</v>
      </c>
      <c r="F11" s="2">
        <v>300</v>
      </c>
    </row>
    <row r="12" spans="1:6">
      <c r="A12" s="2" t="s">
        <v>2222</v>
      </c>
      <c r="B12" s="2">
        <v>22</v>
      </c>
      <c r="C12" s="2" t="s">
        <v>2223</v>
      </c>
      <c r="D12" s="2" t="s">
        <v>2224</v>
      </c>
      <c r="E12" s="2" t="s">
        <v>2225</v>
      </c>
      <c r="F12" s="2">
        <v>22</v>
      </c>
    </row>
    <row r="13" spans="1:6">
      <c r="A13" s="2" t="s">
        <v>2226</v>
      </c>
      <c r="B13" s="2">
        <v>22</v>
      </c>
      <c r="C13" s="2" t="s">
        <v>2223</v>
      </c>
      <c r="D13" s="2" t="s">
        <v>2227</v>
      </c>
      <c r="E13" s="2" t="s">
        <v>2228</v>
      </c>
      <c r="F13" s="2">
        <v>22</v>
      </c>
    </row>
    <row r="14" spans="1:6">
      <c r="A14" s="2" t="s">
        <v>2229</v>
      </c>
      <c r="B14" s="2">
        <v>217</v>
      </c>
      <c r="C14" s="2" t="s">
        <v>2230</v>
      </c>
      <c r="D14" s="2" t="s">
        <v>2231</v>
      </c>
      <c r="E14" s="2" t="s">
        <v>2232</v>
      </c>
      <c r="F14" s="2">
        <v>217</v>
      </c>
    </row>
    <row r="15" spans="1:6">
      <c r="A15" s="2" t="s">
        <v>2233</v>
      </c>
      <c r="B15" s="2">
        <v>22</v>
      </c>
      <c r="C15" s="2" t="s">
        <v>2184</v>
      </c>
      <c r="D15" s="2" t="s">
        <v>2234</v>
      </c>
      <c r="E15" s="2" t="s">
        <v>2208</v>
      </c>
      <c r="F15" s="2">
        <v>22</v>
      </c>
    </row>
    <row r="16" spans="1:6" ht="28.5">
      <c r="A16" s="2" t="s">
        <v>2235</v>
      </c>
      <c r="B16" s="2">
        <v>10</v>
      </c>
      <c r="C16" s="2" t="s">
        <v>2236</v>
      </c>
      <c r="D16" s="2" t="s">
        <v>2237</v>
      </c>
      <c r="E16" s="2" t="s">
        <v>2238</v>
      </c>
      <c r="F16" s="2">
        <v>10</v>
      </c>
    </row>
    <row r="17" spans="1:6">
      <c r="A17" s="2" t="s">
        <v>1707</v>
      </c>
      <c r="B17" s="2">
        <v>12</v>
      </c>
      <c r="C17" s="2" t="s">
        <v>2239</v>
      </c>
      <c r="D17" s="2" t="s">
        <v>2240</v>
      </c>
      <c r="E17" s="2" t="s">
        <v>2241</v>
      </c>
      <c r="F17" s="2">
        <v>12</v>
      </c>
    </row>
    <row r="18" spans="1:6">
      <c r="A18" s="2" t="s">
        <v>2242</v>
      </c>
      <c r="B18" s="2">
        <v>278</v>
      </c>
      <c r="C18" s="2" t="s">
        <v>2239</v>
      </c>
      <c r="D18" s="2" t="s">
        <v>2243</v>
      </c>
      <c r="E18" s="2" t="s">
        <v>2244</v>
      </c>
      <c r="F18" s="2">
        <v>278</v>
      </c>
    </row>
    <row r="19" spans="1:6" ht="28.5">
      <c r="A19" s="2" t="s">
        <v>2245</v>
      </c>
      <c r="B19" s="2">
        <v>25</v>
      </c>
      <c r="C19" s="2" t="s">
        <v>2239</v>
      </c>
      <c r="D19" s="2" t="s">
        <v>2246</v>
      </c>
      <c r="E19" s="2" t="s">
        <v>2247</v>
      </c>
      <c r="F19" s="2">
        <v>25</v>
      </c>
    </row>
    <row r="20" spans="1:6">
      <c r="A20" s="2" t="s">
        <v>2248</v>
      </c>
      <c r="B20" s="2">
        <v>33</v>
      </c>
      <c r="C20" s="2" t="s">
        <v>2239</v>
      </c>
      <c r="D20" s="2" t="s">
        <v>2249</v>
      </c>
      <c r="E20" s="2" t="s">
        <v>2250</v>
      </c>
      <c r="F20" s="2">
        <v>33</v>
      </c>
    </row>
    <row r="21" spans="1:6">
      <c r="A21" s="2" t="s">
        <v>2251</v>
      </c>
      <c r="B21" s="2">
        <v>40</v>
      </c>
      <c r="C21" s="2" t="s">
        <v>2239</v>
      </c>
      <c r="D21" s="2" t="s">
        <v>2252</v>
      </c>
      <c r="E21" s="2" t="s">
        <v>2253</v>
      </c>
      <c r="F21" s="2">
        <v>40</v>
      </c>
    </row>
    <row r="22" spans="1:6" ht="28.5">
      <c r="A22" s="2" t="s">
        <v>2254</v>
      </c>
      <c r="B22" s="2">
        <v>0</v>
      </c>
      <c r="C22" s="2" t="s">
        <v>2255</v>
      </c>
      <c r="D22" s="2" t="s">
        <v>2256</v>
      </c>
      <c r="E22" s="2" t="s">
        <v>2257</v>
      </c>
      <c r="F22" s="2">
        <v>0</v>
      </c>
    </row>
    <row r="23" spans="1:6">
      <c r="A23" s="2"/>
      <c r="B23" s="2"/>
      <c r="C23" s="2"/>
      <c r="D23" s="2"/>
      <c r="E23" s="2"/>
      <c r="F23" s="2"/>
    </row>
    <row r="24" spans="1:6">
      <c r="A24" s="2" t="s">
        <v>70</v>
      </c>
      <c r="B24" s="2" t="s">
        <v>2258</v>
      </c>
      <c r="C24" s="2"/>
      <c r="D24" s="2"/>
      <c r="E24" s="2"/>
      <c r="F24" s="2"/>
    </row>
    <row r="25" spans="1:6">
      <c r="A25" s="2" t="s">
        <v>370</v>
      </c>
      <c r="B25" s="2">
        <v>25</v>
      </c>
      <c r="C25" s="2"/>
      <c r="D25" s="2"/>
      <c r="E25" s="2"/>
      <c r="F25" s="2"/>
    </row>
    <row r="26" spans="1:6">
      <c r="A26" s="2" t="s">
        <v>1156</v>
      </c>
      <c r="B26" s="2">
        <v>25</v>
      </c>
      <c r="C26" s="2"/>
      <c r="D26" s="2"/>
      <c r="E26" s="2"/>
      <c r="F26" s="2"/>
    </row>
    <row r="27" spans="1:6">
      <c r="A27" s="2" t="s">
        <v>564</v>
      </c>
      <c r="B27" s="2">
        <v>48</v>
      </c>
      <c r="C27" s="2"/>
      <c r="D27" s="2"/>
      <c r="E27" s="2"/>
      <c r="F27" s="2"/>
    </row>
    <row r="28" spans="1:6">
      <c r="A28" s="2" t="s">
        <v>512</v>
      </c>
      <c r="B28" s="2">
        <v>14</v>
      </c>
      <c r="C28" s="2"/>
      <c r="D28" s="2"/>
      <c r="E28" s="2"/>
      <c r="F28" s="2"/>
    </row>
    <row r="29" spans="1:6">
      <c r="A29" s="2" t="s">
        <v>331</v>
      </c>
      <c r="B29" s="2">
        <v>24</v>
      </c>
      <c r="C29" s="2"/>
      <c r="D29" s="2"/>
      <c r="E29" s="2"/>
      <c r="F29" s="2"/>
    </row>
    <row r="30" spans="1:6">
      <c r="A30" s="2" t="s">
        <v>1355</v>
      </c>
      <c r="B30" s="2">
        <v>6</v>
      </c>
      <c r="C30" s="2"/>
      <c r="D30" s="2"/>
      <c r="E30" s="2"/>
      <c r="F30" s="2"/>
    </row>
    <row r="31" spans="1:6">
      <c r="A31" s="2" t="s">
        <v>97</v>
      </c>
      <c r="B31" s="2">
        <v>108</v>
      </c>
      <c r="C31" s="2"/>
      <c r="D31" s="2"/>
      <c r="E31" s="2"/>
      <c r="F31" s="2"/>
    </row>
    <row r="32" spans="1:6">
      <c r="A32" s="2" t="s">
        <v>1397</v>
      </c>
      <c r="B32" s="2">
        <v>25</v>
      </c>
      <c r="C32" s="2"/>
      <c r="D32" s="2"/>
      <c r="E32" s="2"/>
      <c r="F32" s="2"/>
    </row>
    <row r="33" spans="1:6">
      <c r="A33" s="2" t="s">
        <v>436</v>
      </c>
      <c r="B33" s="2">
        <v>25</v>
      </c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1"/>
  <sheetViews>
    <sheetView tabSelected="1" workbookViewId="0">
      <selection activeCell="C11" sqref="C11"/>
    </sheetView>
  </sheetViews>
  <sheetFormatPr defaultRowHeight="14.25"/>
  <cols>
    <col min="1" max="1" width="30" customWidth="1"/>
    <col min="2" max="2" width="60" customWidth="1"/>
    <col min="3" max="3" width="24" customWidth="1"/>
    <col min="4" max="4" width="28" customWidth="1"/>
  </cols>
  <sheetData>
    <row r="1" spans="1:4" ht="18">
      <c r="A1" s="19" t="s">
        <v>2259</v>
      </c>
      <c r="B1" s="19"/>
      <c r="C1" s="19"/>
      <c r="D1" s="19"/>
    </row>
    <row r="2" spans="1:4">
      <c r="A2" s="2" t="s">
        <v>2260</v>
      </c>
      <c r="B2" s="2" t="s">
        <v>65</v>
      </c>
      <c r="C2" s="2" t="s">
        <v>2261</v>
      </c>
      <c r="D2" s="2" t="s">
        <v>51</v>
      </c>
    </row>
    <row r="3" spans="1:4">
      <c r="A3" s="2" t="s">
        <v>2262</v>
      </c>
      <c r="B3" s="2" t="s">
        <v>2263</v>
      </c>
      <c r="C3" s="2" t="s">
        <v>2264</v>
      </c>
      <c r="D3" s="2" t="s">
        <v>2265</v>
      </c>
    </row>
    <row r="4" spans="1:4">
      <c r="A4" s="2" t="s">
        <v>2266</v>
      </c>
      <c r="B4" s="2" t="s">
        <v>2267</v>
      </c>
      <c r="C4" s="2" t="s">
        <v>2268</v>
      </c>
      <c r="D4" s="2" t="s">
        <v>2184</v>
      </c>
    </row>
    <row r="5" spans="1:4" ht="28.5">
      <c r="A5" s="2" t="s">
        <v>2269</v>
      </c>
      <c r="B5" s="2" t="s">
        <v>63</v>
      </c>
      <c r="C5" s="2"/>
      <c r="D5" s="2"/>
    </row>
    <row r="6" spans="1:4">
      <c r="A6" s="2" t="s">
        <v>2270</v>
      </c>
      <c r="B6" s="2" t="s">
        <v>2271</v>
      </c>
      <c r="C6" s="2" t="s">
        <v>2272</v>
      </c>
      <c r="D6" s="2" t="s">
        <v>2255</v>
      </c>
    </row>
    <row r="7" spans="1:4" ht="28.5">
      <c r="A7" s="2" t="s">
        <v>2273</v>
      </c>
      <c r="B7" s="2" t="s">
        <v>2274</v>
      </c>
      <c r="C7" s="2"/>
      <c r="D7" s="2"/>
    </row>
    <row r="8" spans="1:4" ht="28.5">
      <c r="A8" s="2" t="s">
        <v>2275</v>
      </c>
      <c r="B8" s="2" t="s">
        <v>2276</v>
      </c>
      <c r="C8" s="2"/>
      <c r="D8" s="2"/>
    </row>
    <row r="9" spans="1:4">
      <c r="A9" s="2" t="s">
        <v>2277</v>
      </c>
      <c r="B9" s="2" t="s">
        <v>2278</v>
      </c>
      <c r="C9" s="2"/>
      <c r="D9" s="2"/>
    </row>
    <row r="10" spans="1:4" ht="28.5">
      <c r="A10" s="2" t="s">
        <v>2279</v>
      </c>
      <c r="B10" s="2" t="s">
        <v>2280</v>
      </c>
      <c r="C10" s="2"/>
      <c r="D10" s="2"/>
    </row>
    <row r="11" spans="1:4" ht="28.5">
      <c r="A11" t="s">
        <v>2283</v>
      </c>
      <c r="B11" s="20" t="s">
        <v>2284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README</vt:lpstr>
      <vt:lpstr>Pump_Aggregates</vt:lpstr>
      <vt:lpstr>Hydraulic_Curves</vt:lpstr>
      <vt:lpstr>Electrical_Drives</vt:lpstr>
      <vt:lpstr>Sources</vt:lpstr>
      <vt:lpstr>Manufacturer_Roadmap</vt:lpstr>
      <vt:lpstr>Data_Dictionary</vt:lpstr>
      <vt:lpstr>Validation_Lists</vt:lpstr>
      <vt:lpstr>Dashboard</vt:lpstr>
      <vt:lpstr>QH_Verification</vt:lpstr>
      <vt:lpstr>QA_Report</vt:lpstr>
      <vt:lpstr>Freeze_Log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Muhriddin Eshqulov</cp:lastModifiedBy>
  <dcterms:modified xsi:type="dcterms:W3CDTF">2026-08-14T09:42:57Z</dcterms:modified>
</cp:coreProperties>
</file>